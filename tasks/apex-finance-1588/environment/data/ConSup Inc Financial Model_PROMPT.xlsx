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567e82298421e64/Personales/Mercor Projects/Mercor - FInancial Models/1588 - Consup/"/>
    </mc:Choice>
  </mc:AlternateContent>
  <xr:revisionPtr revIDLastSave="89" documentId="8_{ED38AA8A-9551-420A-B260-1264CB28AB41}" xr6:coauthVersionLast="47" xr6:coauthVersionMax="47" xr10:uidLastSave="{7742B262-E13F-4171-8CFA-8DD20D9016F8}"/>
  <bookViews>
    <workbookView xWindow="26964" yWindow="2724" windowWidth="23256" windowHeight="12456" xr2:uid="{00000000-000D-0000-FFFF-FFFF00000000}"/>
  </bookViews>
  <sheets>
    <sheet name="Transaction Structure" sheetId="7" r:id="rId1"/>
    <sheet name="Assumptions" sheetId="5" r:id="rId2"/>
    <sheet name="Financial Statements" sheetId="3" r:id="rId3"/>
    <sheet name="Debt" sheetId="17" r:id="rId4"/>
    <sheet name="PP&amp;E" sheetId="16" r:id="rId5"/>
    <sheet name="NWC" sheetId="15" r:id="rId6"/>
    <sheet name="Historicals" sheetId="4" r:id="rId7"/>
  </sheets>
  <definedNames>
    <definedName name="CIQWBGuid" hidden="1">"cbeeede9-6f2c-4268-bbc1-e96b1a38e936"</definedName>
    <definedName name="ExactAddinConnection" hidden="1">"001"</definedName>
    <definedName name="ExactAddinConnection.001" hidden="1">"catfish;001;rick_tellez;1"</definedName>
    <definedName name="IQ_0_PCT_RISK_WEIGHT_TOTAL_THRIFT" hidden="1">"c25055"</definedName>
    <definedName name="IQ_1_4_DWELLING_UNITS_CONSTRUCTION_MORTGAGE_LOANS_ADJUSTED_NCOS_TOTAL_THRIFT" hidden="1">"c25200"</definedName>
    <definedName name="IQ_1_4_DWELLING_UNITS_CONSTRUCTION_MORTGAGE_LOANS_GVA_CHARGE_OFFS_THRIFT" hidden="1">"c25115"</definedName>
    <definedName name="IQ_1_4_DWELLING_UNITS_CONSTRUCTION_MORTGAGE_LOANS_GVA_RECOVERIES_THRIFT" hidden="1">"c25146"</definedName>
    <definedName name="IQ_1_4_DWELLING_UNITS_CONSTRUCTION_MORTGAGE_LOANS_SVA_PROVISIONS_TRANSFERS_FROM_GVA_TOTAL_THRIFT" hidden="1">"c25169"</definedName>
    <definedName name="IQ_1_4_DWELLING_UNITS_REVOLVING_OPEN_END_PML_ADJUSTED_NCOS_TOTAL_THRIFT" hidden="1">"c25203"</definedName>
    <definedName name="IQ_1_4_DWELLING_UNITS_REVOLVING_OPEN_END_PML_GVA_CHARGE_OFFS_THRIFT" hidden="1">"c25118"</definedName>
    <definedName name="IQ_1_4_DWELLING_UNITS_REVOLVING_OPEN_END_PML_GVA_RECOVERIES_THRIFT" hidden="1">"c25149"</definedName>
    <definedName name="IQ_1_4_DWELLING_UNITS_REVOLVING_OPEN_END_PML_SVA_PROVISIONS_TRANSFERS_FROM_GVA_TOTAL_THRIFT" hidden="1">"c25172"</definedName>
    <definedName name="IQ_1_4_DWELLING_UNITS_SECURED_FIRST_LIENS_IN_PROCESS_FORECLOSURE_THRIFT" hidden="1">"c25305"</definedName>
    <definedName name="IQ_1_4_DWELLING_UNITS_SECURED_FIRST_LIENS_PML_ADJUSTED_NCOS_TOTAL_THRIFT" hidden="1">"c25204"</definedName>
    <definedName name="IQ_1_4_DWELLING_UNITS_SECURED_FIRST_LIENS_PML_GVA_CHARGE_OFFS_THRIFT" hidden="1">"c25119"</definedName>
    <definedName name="IQ_1_4_DWELLING_UNITS_SECURED_FIRST_LIENS_PML_GVA_RECOVERIES_THRIFT" hidden="1">"c25150"</definedName>
    <definedName name="IQ_1_4_DWELLING_UNITS_SECURED_FIRST_LIENS_PML_SVA_PROVISIONS_TRANSFERS_FROM_GVA_TOTAL_THRIFT" hidden="1">"c25173"</definedName>
    <definedName name="IQ_1_4_DWELLING_UNITS_SECURED_JUNIOR_LIENS_IN_PROCESS_FORECLOSURE_THRIFT" hidden="1">"c25306"</definedName>
    <definedName name="IQ_1_4_DWELLING_UNITS_SECURED_JUNIOR_LIENS_PML_ADJUSTED_NCOS_TOTAL_THRIFT" hidden="1">"c25205"</definedName>
    <definedName name="IQ_1_4_DWELLING_UNITS_SECURED_JUNIOR_LIENS_PML_GVA_CHARGE_OFFS_THRIFT" hidden="1">"c25120"</definedName>
    <definedName name="IQ_1_4_DWELLING_UNITS_SECURED_JUNIOR_LIENS_PML_GVA_RECOVERIES_THRIFT" hidden="1">"c25151"</definedName>
    <definedName name="IQ_1_4_DWELLING_UNITS_SECURED_JUNIOR_LIENS_PML_SVA_PROVISIONS_TRANSFERS_FROM_GVA_TOTAL_THRIFT" hidden="1">"c25174"</definedName>
    <definedName name="IQ_1_4_DWELLING_UNITS_SECURED_REVOLVING_OPEN_END_LOANS_IN_PROCESS_FORECLOSURE_THRIFT" hidden="1">"c25304"</definedName>
    <definedName name="IQ_1_4_FAMILY_CONSTRUCTION_LOANS_GROSS_LOANS_THRIFT" hidden="1">"c25727"</definedName>
    <definedName name="IQ_1_4_FAMILY_CONSTRUCTION_LOANS_RISK_BASED_CAPITAL_THRIFT" hidden="1">"c25712"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100_PCT_RISK_WEIGHT_TOTAL_THRIFT" hidden="1">"c25073"</definedName>
    <definedName name="IQ_20_PCT_RISK_WEIGHT_TOTAL_THRIFT" hidden="1">"c25062"</definedName>
    <definedName name="IQ_50_PCT_RISK_WEIGHT_TOTAL_THRIFT" hidden="1">"c25069"</definedName>
    <definedName name="IQ_ABS_AFS_AMORT_COST_FFIEC" hidden="1">"c20499"</definedName>
    <definedName name="IQ_ABS_AFS_FAIR_VAL_FFIEC" hidden="1">"c20464"</definedName>
    <definedName name="IQ_ABS_HTM_AMORT_COST_FFIEC" hidden="1">"c20447"</definedName>
    <definedName name="IQ_ABS_HTM_FAIR_VAL_FFIEC" hidden="1">"c20482"</definedName>
    <definedName name="IQ_ACCOUNTS_PAYABLE_THRIFT" hidden="1">"c24910"</definedName>
    <definedName name="IQ_ACCRUED_INT_PAYABLE_DEPOSITS_THRIFT" hidden="1">"c24907"</definedName>
    <definedName name="IQ_ACCRUED_INT_PAYABLE_THRIFT" hidden="1">"c24906"</definedName>
    <definedName name="IQ_ACCRUED_INT_RECEIVABLE_MBS_THRIFT" hidden="1">"c24836"</definedName>
    <definedName name="IQ_ACCRUED_INT_RECEIVABLE_THRIFT" hidden="1">"c24827"</definedName>
    <definedName name="IQ_ACCRUED_MORTGAGE_INT_RECEIVABLE_THRIFT" hidden="1">"c24849"</definedName>
    <definedName name="IQ_ACCRUED_NON_MORTGAGE_INT_RECEIVABLE_THRIFT" hidden="1">"c24866"</definedName>
    <definedName name="IQ_ACCRUED_TAXES_THRIFT" hidden="1">"c24909"</definedName>
    <definedName name="IQ_ACCUM_AMORT_GW" hidden="1">"c17749"</definedName>
    <definedName name="IQ_ACCUM_AMORT_INTAN_ASSETS" hidden="1">"c17747"</definedName>
    <definedName name="IQ_ACCUMULATED_GAINS_LOSSES_CASH_FLOW_HEDGES_THRIFT" hidden="1">"c24922"</definedName>
    <definedName name="IQ_ACCUMULATED_GAINS_LOSSES_CERTAIN_SEC_THRIFT" hidden="1">"c24921"</definedName>
    <definedName name="IQ_ACCUMULATED_LOSSES_GAINS_CASH_FLOW_HEDGES_ADJUSTED_ASSETS_THRIFT" hidden="1">"c25035"</definedName>
    <definedName name="IQ_ACCUMULATED_LOSSES_GAINS_CASH_FLOW_HEDGES_T1_THRIFT" hidden="1">"c25026"</definedName>
    <definedName name="IQ_ACQUIRED_BY_REPORTING_BANK_FDIC" hidden="1">"c6535"</definedName>
    <definedName name="IQ_ACTUAL_THRIFT_INV_PERCENTAGE_MONTH_END_FIRST_MONTH_QUARTER_THRIFT" hidden="1">"c25584"</definedName>
    <definedName name="IQ_ACTUAL_THRIFT_INV_PERCENTAGE_MONTH_END_SECOND_MONTH_QUARTER_THRIFT" hidden="1">"c25585"</definedName>
    <definedName name="IQ_ACTUAL_THRIFT_INV_PERCENTAGE_MONTH_END_THIRD_MONTH_QUARTER_THRIFT" hidden="1">"c25586"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JUSTED_OPERATING_INCOME_AVG_ASSETS_THRIFT" hidden="1">"c25651"</definedName>
    <definedName name="IQ_ADJUSTED_TOTAL_ASSETS_ADJUSTED_ASSETS_THRIFT" hidden="1">"c25038"</definedName>
    <definedName name="IQ_ADJUSTMENTS_GVA_THRIFT" hidden="1">"c25095"</definedName>
    <definedName name="IQ_ADJUSTMENTS_SVA_THRIFT" hidden="1">"c25102"</definedName>
    <definedName name="IQ_ADJUSTMENTS_TVA_THRIFT" hidden="1">"c25109"</definedName>
    <definedName name="IQ_ADVANCES_FROM_FHLB_THRIFT" hidden="1">"c24900"</definedName>
    <definedName name="IQ_ADVANCES_TAXES_INSURANCE_THRIFT" hidden="1">"c24850"</definedName>
    <definedName name="IQ_AE_CM" hidden="1">"c10"</definedName>
    <definedName name="IQ_AFS_SEC_AMOUNTS_NETTED_THRIFT" hidden="1">"c25492"</definedName>
    <definedName name="IQ_AFS_SEC_INV_SEC_THRIFT" hidden="1">"c25670"</definedName>
    <definedName name="IQ_AFS_SEC_LEVEL_1_THRIFT" hidden="1">"c25488"</definedName>
    <definedName name="IQ_AFS_SEC_LEVEL_2_THRIFT" hidden="1">"c25489"</definedName>
    <definedName name="IQ_AFS_SEC_LEVEL_3_THRIFT" hidden="1">"c25490"</definedName>
    <definedName name="IQ_AFS_SEC_THRIFT" hidden="1">"c24933"</definedName>
    <definedName name="IQ_AFS_SEC_TIER_1_CAPITAL_THRIFT" hidden="1">"c25630"</definedName>
    <definedName name="IQ_AFS_SEC_TOTAL_AFTER_NETTING_THRIFT" hidden="1">"c25493"</definedName>
    <definedName name="IQ_AFS_SEC_TOTAL_BEFORE_NETTING_THRIFT" hidden="1">"c25491"</definedName>
    <definedName name="IQ_AFTER_TAX_INCOME_FDIC" hidden="1">"c6583"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HEDGEFUND_OVER_TOTAL" hidden="1">"c13771"</definedName>
    <definedName name="IQ_AGG_INSIDER_OVER_TOTAL" hidden="1">"c1581"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INV_MANAGERS_OVER_TOTAL" hidden="1">"c26967"</definedName>
    <definedName name="IQ_AGG_INV_MANAGERS_SHARES" hidden="1">"c26968"</definedName>
    <definedName name="IQ_AGG_INV_MANAGERS_VALUE" hidden="1">"c26969"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REIT_OVER_TOTAL" hidden="1">"c24693"</definedName>
    <definedName name="IQ_AGG_REIT_SHARES" hidden="1">"c24695"</definedName>
    <definedName name="IQ_AGG_REIT_VALUE" hidden="1">"c24694"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GREGATE_AMT_ALL_EXTENSIONS_CREDIT_THRIFT" hidden="1">"c25589"</definedName>
    <definedName name="IQ_AGGREGATE_INV_IN_SERVICE_CORPORATIONS_THRIFT" hidden="1">"c25588"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IRCRAFT_RENT" hidden="1">"c17872"</definedName>
    <definedName name="IQ_ALL_OTHER_ASSETS_ELIGIBLE_100_PCT_RISK_WEIGHT_THRIFT" hidden="1">"c25072"</definedName>
    <definedName name="IQ_ALL_OTHER_FINANCIAL_ASSETS_AMOUNTS_NETTED_THRIFT" hidden="1">"c25516"</definedName>
    <definedName name="IQ_ALL_OTHER_FINANCIAL_ASSETS_LEVEL_1_THRIFT" hidden="1">"c25512"</definedName>
    <definedName name="IQ_ALL_OTHER_FINANCIAL_ASSETS_LEVEL_2_THRIFT" hidden="1">"c25513"</definedName>
    <definedName name="IQ_ALL_OTHER_FINANCIAL_ASSETS_LEVEL_3_THRIFT" hidden="1">"c25514"</definedName>
    <definedName name="IQ_ALL_OTHER_FINANCIAL_ASSETS_TOTAL_AFTER_NETTING_THRIFT" hidden="1">"c25517"</definedName>
    <definedName name="IQ_ALL_OTHER_FINANCIAL_ASSETS_TOTAL_BEFORE_NETTING_THRIFT" hidden="1">"c25515"</definedName>
    <definedName name="IQ_ALL_OTHER_FINANCIAL_LIABILITIES_AMOUNTS_NETTED_THRIFT" hidden="1">"c25558"</definedName>
    <definedName name="IQ_ALL_OTHER_FINANCIAL_LIABILITIES_LEVEL_1_THRIFT" hidden="1">"c25554"</definedName>
    <definedName name="IQ_ALL_OTHER_FINANCIAL_LIABILITIES_LEVEL_2_THRIFT" hidden="1">"c25555"</definedName>
    <definedName name="IQ_ALL_OTHER_FINANCIAL_LIABILITIES_LEVEL_3_THRIFT" hidden="1">"c25556"</definedName>
    <definedName name="IQ_ALL_OTHER_FINANCIAL_LIABILITIES_TOTAL_AFTER_NETTING_THRIFT" hidden="1">"c25559"</definedName>
    <definedName name="IQ_ALL_OTHER_FINANCIAL_LIABILITIES_TOTAL_BEFORE_NETTING_THRIFT" hidden="1">"c25557"</definedName>
    <definedName name="IQ_ALL_OTHER_LOANS_EXCL_CONSUMER_LL_REC_DOM_FFIEC" hidden="1">"c25857"</definedName>
    <definedName name="IQ_ALL_OTHER_LOANS_EXCL_CONSUMER_LL_REC_FFIEC" hidden="1">"c25853"</definedName>
    <definedName name="IQ_ALL_OTHER_SEC_1_4_DOM_CHARGE_OFFS_FFIEC" hidden="1">"c25842"</definedName>
    <definedName name="IQ_ALL_OTHER_SEC_1_4_DOM_RECOV_FFIEC" hidden="1">"c25843"</definedName>
    <definedName name="IQ_ALL_OTHER_SEC_1_4_DUE_30_89_FFIEC" hidden="1">"c25835"</definedName>
    <definedName name="IQ_ALL_OTHER_SEC_1_4_DUE_90_FFIEC" hidden="1">"c25836"</definedName>
    <definedName name="IQ_ALL_OTHER_SEC_1_4_NON_ACCRUAL_FFIEC" hidden="1">"c25837"</definedName>
    <definedName name="IQ_ALL_OTHER_UNUSED_FFIEC" hidden="1">"c25861"</definedName>
    <definedName name="IQ_ALL_STATEMENTS_AP" hidden="1">"c25895"</definedName>
    <definedName name="IQ_ALL_STATEMENTS_AP_CO" hidden="1">"c25896"</definedName>
    <definedName name="IQ_ALL_STATEMENTS_INDUSTRY" hidden="1">"c25891"</definedName>
    <definedName name="IQ_ALL_STATEMENTS_INDUSTRY_CO" hidden="1">"c25892"</definedName>
    <definedName name="IQ_ALL_STATEMENTS_STANDARD" hidden="1">"c25893"</definedName>
    <definedName name="IQ_ALL_STATEMENTS_STANDARD_CO" hidden="1">"c25894"</definedName>
    <definedName name="IQ_ALLOW_MORTGAGE_LL_LOSSES_THRIFT" hidden="1">"c24851"</definedName>
    <definedName name="IQ_ALLOW_NON_MORTGAGE_LOAN_LL_THRIFT" hidden="1">"c24867"</definedName>
    <definedName name="IQ_ALLOWABLE_TIER_2_CAPITAL_T2_THRIFT" hidden="1">"c25046"</definedName>
    <definedName name="IQ_ALLOWANCE_AMT_INCLUDED_IN_ALLOWANCE_LOAN_LEASE_LOSSES_PURCHASED_CREDIT_IMPAIRED_LOANS_THRIFT" hidden="1">"c25239"</definedName>
    <definedName name="IQ_ALLOWANCES_LL_LOSSES_T2_THRIFT" hidden="1">"c25043"</definedName>
    <definedName name="IQ_ALPHA_SCORE_DATE" hidden="1">"c25923"</definedName>
    <definedName name="IQ_AMENDED_BALANCE_PREVIOUS_YR_FDIC" hidden="1">"c6499"</definedName>
    <definedName name="IQ_AMORT_EXPENSE_FDIC" hidden="1">"c6677"</definedName>
    <definedName name="IQ_AMORT_LOAN_SERVICING_ASSETS_LIABILITIES_THRIFT" hidden="1">"c24767"</definedName>
    <definedName name="IQ_AMORTIZED_COST_FDIC" hidden="1">"c6426"</definedName>
    <definedName name="IQ_AMT_DIRECT_CREDIT_SUBSTITUTES_ASSETS_THRIFT" hidden="1">"c25616"</definedName>
    <definedName name="IQ_AMT_LOW_LEVEL_RECOURSE_RESIDUAL_INTERESTS_BEFORE_RISK_WEIGHTING_THRIFT" hidden="1">"c25074"</definedName>
    <definedName name="IQ_AMT_NONINTEREST_BEARING_TRANSACTION_ACCOUNTS_MORE_THAN_250000_THRIFT" hidden="1">"c25582"</definedName>
    <definedName name="IQ_AMT_RECOURSE_OBLIGATIONS_ASSETS_THRIFT" hidden="1">"c25617"</definedName>
    <definedName name="IQ_AMT_RECOURSE_OBLIGATIONS_LOANS_THRIFT" hidden="1">"c25618"</definedName>
    <definedName name="IQ_AMT_RECOURSE_OBLIGATIONS_LOANS_WHERE_RECOURSE_IS_120_DAYS_LESS_THRIFT" hidden="1">"c25619"</definedName>
    <definedName name="IQ_AMT_RECOURSE_OBLIGATIONS_LOANS_WHERE_RECOURSE_IS_GREATER_THAN_120_DAYS_THRIFT" hidden="1">"c25620"</definedName>
    <definedName name="IQ_AMT_THIS_QUARTER_TROUBLED_DEBT_RESTRUCTURED_THRIFT" hidden="1">"c25229"</definedName>
    <definedName name="IQ_AOCI_THRIFT" hidden="1">"c24920"</definedName>
    <definedName name="IQ_AP_CM" hidden="1">"c34"</definedName>
    <definedName name="IQ_APIC_THRIFT" hidden="1">"c24918"</definedName>
    <definedName name="IQ_APPLICABLE_INCOME_TAXES_AVG_ASSETS_THRIFT" hidden="1">"c25657"</definedName>
    <definedName name="IQ_AR_CM" hidden="1">"c41"</definedName>
    <definedName name="IQ_ASSET_BACKED_FDIC" hidden="1">"c6301"</definedName>
    <definedName name="IQ_ASSET_BACKED_SEC_INV_SEC_THRIFT" hidden="1">"c25674"</definedName>
    <definedName name="IQ_ASSET_MANAGED_GROWTH_RATE" hidden="1">"c20434"</definedName>
    <definedName name="IQ_ASSET_WRITEDOWN_CF_CM" hidden="1">"c53"</definedName>
    <definedName name="IQ_ASSET_WRITEDOWN_CM" hidden="1">"c50"</definedName>
    <definedName name="IQ_ASSETS_EXCLUDED_PURPOSES_OTS_ASSESSMENT_COMPLEXITY_COMPONENT_MANAGED_ASSETS_THRIFT" hidden="1">"c25356"</definedName>
    <definedName name="IQ_ASSETS_EXCLUDED_PURPOSES_OTS_ASSESSMENT_COMPLEXITY_COMPONENT_NONMANAGED_ASSETS_THRIFT" hidden="1">"c25378"</definedName>
    <definedName name="IQ_ASSETS_HELD_FDIC" hidden="1">"c6305"</definedName>
    <definedName name="IQ_ASSETS_HFS_THRIFT" hidden="1">"c24934"</definedName>
    <definedName name="IQ_ASSETS_LOSS_SHARING_DEBT_SEC_FFIEC" hidden="1">"c25867"</definedName>
    <definedName name="IQ_ASSETS_LOSS_SHARING_FFIEC" hidden="1">"c25864"</definedName>
    <definedName name="IQ_ASSETS_LOSS_SHARING_LL_FFIEC" hidden="1">"c25865"</definedName>
    <definedName name="IQ_ASSETS_LOSS_SHARING_OREO_FFIEC" hidden="1">"c25866"</definedName>
    <definedName name="IQ_ASSETS_LOSS_SHARING_OTHER_FFIEC" hidden="1">"c25868"</definedName>
    <definedName name="IQ_ASSETS_NON_INCLUDABLE_SUBS_ADJUSTED_ASSETS_THRIFT" hidden="1">"c25031"</definedName>
    <definedName name="IQ_ASSETS_PER_EMPLOYEE_FDIC" hidden="1">"c6737"</definedName>
    <definedName name="IQ_ASSETS_PER_EMPLOYEE_THRIFT" hidden="1">"c25783"</definedName>
    <definedName name="IQ_ASSETS_RISK_WEIGHT_THRIFT" hidden="1">"c25076"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FEE_EARNING" hidden="1">"c20402"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HRIFT" hidden="1">"c24862"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DEPOSITS_ESCROWS_THRIFT" hidden="1">"c24950"</definedName>
    <definedName name="IQ_AVG_DEPOSITS_INV_EXCLUDING_NON_INT_EARNING_ITEMS_THRIFT" hidden="1">"c24947"</definedName>
    <definedName name="IQ_AVG_EARNING_ASSETS_AVG_ASSETS_THRIFT" hidden="1">"c25645"</definedName>
    <definedName name="IQ_AVG_INT_BEARING_FUNDS_AVG_ASSETS_THRIFT" hidden="1">"c25646"</definedName>
    <definedName name="IQ_AVG_MARKETCAP_Z" hidden="1">"c25900"</definedName>
    <definedName name="IQ_AVG_MORTGAGE_LOANS_MBS_THRIFT" hidden="1">"c24948"</definedName>
    <definedName name="IQ_AVG_NON_MORTGAGE_LOANS_THRIFT" hidden="1">"c24949"</definedName>
    <definedName name="IQ_AVG_PORTFOLIO_DURATION" hidden="1">"c17693"</definedName>
    <definedName name="IQ_AVG_REV_PER_TRADE" hidden="1">"c20431"</definedName>
    <definedName name="IQ_AVG_TOTAL_ASSETS_THRIFT" hidden="1">"c24946"</definedName>
    <definedName name="IQ_AVG_TOTAL_BORROWINGS_THRIFT" hidden="1">"c24951"</definedName>
    <definedName name="IQ_BALANCE_SHEET_AP" hidden="1">"c25883"</definedName>
    <definedName name="IQ_BALANCE_SHEET_AP_CO" hidden="1">"c25884"</definedName>
    <definedName name="IQ_BALANCE_SHEET_INDUSTRY" hidden="1">"c25879"</definedName>
    <definedName name="IQ_BALANCE_SHEET_INDUSTRY_CO" hidden="1">"c25880"</definedName>
    <definedName name="IQ_BALANCE_SHEET_STANDARD" hidden="1">"c25881"</definedName>
    <definedName name="IQ_BALANCE_SHEET_STANDARD_CO" hidden="1">"c25882"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OWNED_LIFE_INSURANCE_THRIFT" hidden="1">"c24884"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EGINNING_BALANCE_GVA_THRIFT" hidden="1">"c25091"</definedName>
    <definedName name="IQ_BEGINNING_BALANCE_REPORTED_QUARTERLY_BALANCE_GVA_THRIFT" hidden="1">"c25090"</definedName>
    <definedName name="IQ_BEGINNING_BALANCE_REPORTED_QUARTERLY_BALANCE_SVA_THRIFT" hidden="1">"c25098"</definedName>
    <definedName name="IQ_BEGINNING_BALANCE_REPORTED_QUARTERLY_BALANCE_TVA_THRIFT" hidden="1">"c25105"</definedName>
    <definedName name="IQ_BEGINNING_BALANCE_SVA_THRIFT" hidden="1">"c25099"</definedName>
    <definedName name="IQ_BEGINNING_BALANCE_TVA_THRIFT" hidden="1">"c25106"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ROKER_DEPOSITS_TOTAL_DEPOSITS_THRIFT" hidden="1">"c25781"</definedName>
    <definedName name="IQ_BROKER_ORIGINATED_DEPOSITS_FULLY_INSURED_100000_THROUGH_250000_THRIFT" hidden="1">"c24980"</definedName>
    <definedName name="IQ_BROKER_ORIGINATED_DEPOSITS_FULLY_INSURED_LESS_THAN_100000_THRIFT" hidden="1">"c24979"</definedName>
    <definedName name="IQ_BROKERED_DEPOSITS_FDIC" hidden="1">"c6486"</definedName>
    <definedName name="IQ_CAPEX_CM" hidden="1">"c111"</definedName>
    <definedName name="IQ_CAPITAL_CONTRIBUTIONS_SAVINGS_ASSOCIATION_THRIFT" hidden="1">"c25014"</definedName>
    <definedName name="IQ_CAPITALIZED_INT_THRIFT" hidden="1">"c24763"</definedName>
    <definedName name="IQ_CARRYING_AMT_DEBT_SEC_COVERED_FDIC_LOSS_SHARING_AGREEMENTS_THRIFT" hidden="1">"c24944"</definedName>
    <definedName name="IQ_CARRYING_AMT_LOANS_LEASES_COVERED_FDIC_LOSS_SHARING_AGREEMENTS_THRIFT" hidden="1">"c24942"</definedName>
    <definedName name="IQ_CARRYING_AMT_OTHER_ASSETS_COVERED_FDIC_LOSS_SHARING_AGREEMENTS_THRIFT" hidden="1">"c24945"</definedName>
    <definedName name="IQ_CARRYING_AMT_RE_OWNED_COVERED_FDIC_LOSS_SHARING_AGREEMENTS_THRIFT" hidden="1">"c24943"</definedName>
    <definedName name="IQ_CASH_DIVIDENDS_NET_INCOME_FDIC" hidden="1">"c6738"</definedName>
    <definedName name="IQ_CASH_DIVIDENDS_NET_INCOME_THRIFT" hidden="1">"c25634"</definedName>
    <definedName name="IQ_CASH_ELIGIBLE_0_PCT_RISK_WEIGHT_THRIFT" hidden="1">"c25051"</definedName>
    <definedName name="IQ_CASH_FLOW_AP" hidden="1">"c25889"</definedName>
    <definedName name="IQ_CASH_FLOW_AP_CO" hidden="1">"c25890"</definedName>
    <definedName name="IQ_CASH_FLOW_INDUSTRY" hidden="1">"c25885"</definedName>
    <definedName name="IQ_CASH_FLOW_INDUSTRY_CO" hidden="1">"c25886"</definedName>
    <definedName name="IQ_CASH_FLOW_STANDARD" hidden="1">"c25887"</definedName>
    <definedName name="IQ_CASH_FLOW_STANDARD_CO" hidden="1">"c25888"</definedName>
    <definedName name="IQ_CASH_IN_PROCESS_FDIC" hidden="1">"c6386"</definedName>
    <definedName name="IQ_CASH_NON_INT_EARNING_DEPOSITS_THRIFT" hidden="1">"c24818"</definedName>
    <definedName name="IQ_CASH_STRUCTURED_PRODUCTS_AFS_AMORT_COST_FFIEC" hidden="1">"c20500"</definedName>
    <definedName name="IQ_CASH_STRUCTURED_PRODUCTS_AFS_FAIR_VAL_FFIEC" hidden="1">"c20465"</definedName>
    <definedName name="IQ_CASH_STRUCTURED_PRODUCTS_HTM_AMORT_COST_FFIEC" hidden="1">"c20448"</definedName>
    <definedName name="IQ_CASH_STRUCTURED_PRODUCTS_HTM_FAIR_VAL_FFIEC" hidden="1">"c20483"</definedName>
    <definedName name="IQ_CATASTROPHIC_LOSSES" hidden="1">"c17694"</definedName>
    <definedName name="IQ_CC_RELATED_DUE_90_FFIEC" hidden="1">"c25833"</definedName>
    <definedName name="IQ_CC_RELATED_LOANS_DUE_30_89_FFIEC" hidden="1">"c25832"</definedName>
    <definedName name="IQ_CC_RELATED_NON_ACCRUAL_FFIEC" hidden="1">"c25834"</definedName>
    <definedName name="IQ_CCE_FDIC" hidden="1">"c6296"</definedName>
    <definedName name="IQ_CH" hidden="1">110000</definedName>
    <definedName name="IQ_CHANGE_AP_CM" hidden="1">"c135"</definedName>
    <definedName name="IQ_CHANGE_AR_CM" hidden="1">"c142"</definedName>
    <definedName name="IQ_CHANGE_OTHER_NET_OPER_ASSETS_CM" hidden="1">"c3595"</definedName>
    <definedName name="IQ_CHANGE_OTHER_WORK_CAP_CM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VA_THRIFT" hidden="1">"c25096"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SVA_THRIFT" hidden="1">"c25103"</definedName>
    <definedName name="IQ_CHARGE_OFFS_TVA_THRIFT" hidden="1">"c25110"</definedName>
    <definedName name="IQ_CIK" hidden="1">"c20384"</definedName>
    <definedName name="IQ_CIP" hidden="1">"c17551"</definedName>
    <definedName name="IQ_CLAIMS_DOMESTIC_DEPOSITORY_INSTITUTIONS_ELIGIBLE_20_PCT_RISK_WEIGHT_THRIFT" hidden="1">"c25060"</definedName>
    <definedName name="IQ_CLAIMS_FHLBS_ELIGIBLE_20_PCT_RISK_WEIGHT_THRIFT" hidden="1">"c25058"</definedName>
    <definedName name="IQ_CLOSED_END_1_4_FAMILY_LOANS_TOTAL_LOANS_THRIFT" hidden="1">"c25742"</definedName>
    <definedName name="IQ_CLOSED_END_LOANS_GROSS_LOANS_THRIFT" hidden="1">"c25724"</definedName>
    <definedName name="IQ_CLOSED_END_LOANS_RISK_BASED_CAPITAL_THRIFT" hidden="1">"c25709"</definedName>
    <definedName name="IQ_CLOSED_PURCHASED_COMM_NON_MORTGAGE_LOANS_THRIFT" hidden="1">"c25339"</definedName>
    <definedName name="IQ_CLOSED_PURCHASED_CONSUMER_NON_MORTGAGE_LOANS_THRIFT" hidden="1">"c25341"</definedName>
    <definedName name="IQ_CMBS_ISSUED_AFS_AMORT_COST_FFIEC" hidden="1">"c20497"</definedName>
    <definedName name="IQ_CMBS_ISSUED_AFS_FAIR_VAL_FFIEC" hidden="1">"c20462"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MO_THRIFT" hidden="1">"c24903"</definedName>
    <definedName name="IQ_COLLATERALIZED_MBS_ISSUED_GUARANTEED_FNMA_FHLMC_GNMA_THRIFT" hidden="1">"c24834"</definedName>
    <definedName name="IQ_COLLECTION_DOMESTIC_FDIC" hidden="1">"c6387"</definedName>
    <definedName name="IQ_COLLECTIVE_INV_FUNDS_COMMON_TRUST_FUNDS_DOMESTIC_EQUITY_MARKET_VALUE_FUNDED_ASSETS_THRIFT" hidden="1">"c25445"</definedName>
    <definedName name="IQ_COLLECTIVE_INV_FUNDS_COMMON_TRUST_FUNDS_DOMESTIC_EQUITY_NUMBER_FUNDS_THRIFT" hidden="1">"c25446"</definedName>
    <definedName name="IQ_COLLECTIVE_INV_FUNDS_COMMON_TRUST_FUNDS_INTERNATIONALGLOBAL_EQUITY_MARKET_VALUE_FUNDED_ASSETS_THRIFT" hidden="1">"c25447"</definedName>
    <definedName name="IQ_COLLECTIVE_INV_FUNDS_COMMON_TRUST_FUNDS_INTERNATIONALGLOBAL_EQUITY_NUMBER_FUNDS_THRIFT" hidden="1">"c25448"</definedName>
    <definedName name="IQ_COLLECTIVE_INV_FUNDS_COMMON_TRUST_FUNDS_MUNICIPAL_BOND_MARKET_VALUE_FUNDED_ASSETS_THRIFT" hidden="1">"c25453"</definedName>
    <definedName name="IQ_COLLECTIVE_INV_FUNDS_COMMON_TRUST_FUNDS_MUNICIPAL_BOND_NUMBER_FUNDS_THRIFT" hidden="1">"c25454"</definedName>
    <definedName name="IQ_COLLECTIVE_INV_FUNDS_COMMON_TRUST_FUNDS_SHORT_TERM_INVESTMENTSMONEY_MARKET_MARKET_VALUE_FUNDED_ASSETS_THRIFT" hidden="1">"c25455"</definedName>
    <definedName name="IQ_COLLECTIVE_INV_FUNDS_COMMON_TRUST_FUNDS_SHORT_TERM_INVESTMENTSMONEY_MARKET_NUMBER_FUNDS_THRIFT" hidden="1">"c25456"</definedName>
    <definedName name="IQ_COLLECTIVE_INV_FUNDS_COMMON_TRUST_FUNDS_SPECIALTYOTHER_MARKET_VALUE_FUNDED_ASSETS_THRIFT" hidden="1">"c25457"</definedName>
    <definedName name="IQ_COLLECTIVE_INV_FUNDS_COMMON_TRUST_FUNDS_SPECIALTYOTHER_NUMBER_FUNDS_THRIFT" hidden="1">"c25458"</definedName>
    <definedName name="IQ_COLLECTIVE_INV_FUNDS_COMMON_TRUST_FUNDS_STOCKBOND_BLEND_MARKET_VALUE_FUNDED_ASSETS_THRIFT" hidden="1">"c25449"</definedName>
    <definedName name="IQ_COLLECTIVE_INV_FUNDS_COMMON_TRUST_FUNDS_STOCKBOND_BLEND_NUMBER_FUNDS_THRIFT" hidden="1">"c25450"</definedName>
    <definedName name="IQ_COLLECTIVE_INV_FUNDS_COMMON_TRUST_FUNDS_TAXABLE_BOND_MARKET_VALUE_FUNDED_ASSETS_THRIFT" hidden="1">"c25451"</definedName>
    <definedName name="IQ_COLLECTIVE_INV_FUNDS_COMMON_TRUST_FUNDS_TAXABLE_BOND_NUMBER_FUNDS_THRIFT" hidden="1">"c25452"</definedName>
    <definedName name="IQ_COLLECTIVE_INV_FUNDS_COMMON_TRUST_FUNDS_TOTAL_COLLECTIVE_INV_FUNDS_MARKET_VALUE_FUNDED_ASSETS_THRIFT" hidden="1">"c25459"</definedName>
    <definedName name="IQ_COLLECTIVE_INV_FUNDS_COMMON_TRUST_FUNDS_TOTAL_COLLECTIVE_INV_FUNDS_NUMBER_FUNDS_THRIFT" hidden="1">"c25460"</definedName>
    <definedName name="IQ_COMM_LETTERS_CREDIT_THRIFT" hidden="1">"c25613"</definedName>
    <definedName name="IQ_COMM_LOANS_GROSS_LOANS_THRIFT" hidden="1">"c25732"</definedName>
    <definedName name="IQ_COMM_LOANS_NON_MORTGAGE_ADJUSTED_NCOS_TOTAL_THRIFT" hidden="1">"c25210"</definedName>
    <definedName name="IQ_COMM_LOANS_NON_MORTGAGE_GVA_CHARGE_OFFS_THRIFT" hidden="1">"c25125"</definedName>
    <definedName name="IQ_COMM_LOANS_NON_MORTGAGE_GVA_RECOVERIES_THRIFT" hidden="1">"c25156"</definedName>
    <definedName name="IQ_COMM_LOANS_NON_MORTGAGE_SVA_PROVISIONS_TRANSFERS_FROM_GVA_TOTAL_THRIFT" hidden="1">"c25179"</definedName>
    <definedName name="IQ_COMM_LOANS_RISK_BASED_CAPITAL_THRIFT" hidden="1">"c25717"</definedName>
    <definedName name="IQ_COMM_LOANS_THRIFT" hidden="1">"c24853"</definedName>
    <definedName name="IQ_COMM_LOANS_TOTAL_LOANS_THRIFT" hidden="1">"c25749"</definedName>
    <definedName name="IQ_COMM_NON_MORTGAGE_LOANS_DUE_30_89_THRIFT" hidden="1">"c25247"</definedName>
    <definedName name="IQ_COMM_NON_MORTGAGE_LOANS_DUE_90_THRIFT" hidden="1">"c25268"</definedName>
    <definedName name="IQ_COMM_NON_MORTGAGE_LOANS_NON_ACCRUAL_THRIFT" hidden="1">"c25289"</definedName>
    <definedName name="IQ_COMM_RE_FARM_LOANS_TOTAL_LOANS_THRIFT" hidden="1">"c25743"</definedName>
    <definedName name="IQ_COMM_RE_LOANS_GROSS_LOANS_THRIFT" hidden="1">"c25725"</definedName>
    <definedName name="IQ_COMM_RE_LOANS_RISK_BASED_CAPITAL_THRIFT" hidden="1">"c25710"</definedName>
    <definedName name="IQ_COMM_RE_NONFARM_NONRESIDENTIAL_TOTAL_LOANS_THRIFT" hidden="1">"c25746"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_UNUSED_FFIEC" hidden="1">"c25859"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CM" hidden="1">"c185"</definedName>
    <definedName name="IQ_COMMON_FDIC" hidden="1">"c6350"</definedName>
    <definedName name="IQ_COMMON_ISSUED_CM" hidden="1">"c199"</definedName>
    <definedName name="IQ_COMMON_REP_CM" hidden="1">"c208"</definedName>
    <definedName name="IQ_COMMON_STOCK_DIVIDENDS_DECLARED_SAVINGS_ASSOCIATION_THRIFT" hidden="1">"c25011"</definedName>
    <definedName name="IQ_COMMON_STOCK_THRIFT" hidden="1">"c24917"</definedName>
    <definedName name="IQ_COMMON_TRUST_FUNDS_COLLECTIVE_INV_FUNDS_ALL_OTHER_ACCOUNTS_THRIFT" hidden="1">"c25430"</definedName>
    <definedName name="IQ_COMMON_TRUST_FUNDS_COLLECTIVE_INV_FUNDS_EMPLOYEE_BENEFIT_RETIREMENT_RELATED_ACCOUNTS_THRIFT" hidden="1">"c25414"</definedName>
    <definedName name="IQ_COMMON_TRUST_FUNDS_COLLECTIVE_INV_FUNDS_PERSONAL_TRUST_AGENCY_INV_MANAGEMENT_ACCOUNTS_THRIFT" hidden="1">"c25398"</definedName>
    <definedName name="IQ_COMPANY_ID_QUICK_MATCH" hidden="1">"c16227"</definedName>
    <definedName name="IQ_COMPANY_MAIN_FAX" hidden="1">"c18016"</definedName>
    <definedName name="IQ_COMPANY_NAME_QUICK_MATCH" hidden="1">"c16228"</definedName>
    <definedName name="IQ_CONSTITUENTS_NAME" hidden="1">"c19192"</definedName>
    <definedName name="IQ_CONSTRUCTION_1_4_DWELLING_UNITS_THRIFT" hidden="1">"c24839"</definedName>
    <definedName name="IQ_CONSTRUCTION_DEV_LOANS_FDIC" hidden="1">"c6313"</definedName>
    <definedName name="IQ_CONSTRUCTION_LAND_DEVELOPMENT_CHARGE_OFFS_FDIC" hidden="1">"c6594"</definedName>
    <definedName name="IQ_CONSTRUCTION_LAND_DEVELOPMENT_LOANS_TOTAL_LOANS_THRIFT" hidden="1">"c25744"</definedName>
    <definedName name="IQ_CONSTRUCTION_LAND_DEVELOPMENT_NET_CHARGE_OFFS_FDIC" hidden="1">"c6632"</definedName>
    <definedName name="IQ_CONSTRUCTION_LAND_DEVELOPMENT_RECOVERIES_FDIC" hidden="1">"c6613"</definedName>
    <definedName name="IQ_CONSTRUCTION_LOANS_GROSS_LOANS_THRIFT" hidden="1">"c25726"</definedName>
    <definedName name="IQ_CONSTRUCTION_LOANS_IN_PROCESS_FORECLOSURE_THRIFT" hidden="1">"c25303"</definedName>
    <definedName name="IQ_CONSTRUCTION_LOANS_RISK_BASED_CAPITAL_THRIFT" hidden="1">"c25711"</definedName>
    <definedName name="IQ_CONSTRUCTION_MORTGAGE_LOANS_30_89_DAYS_PAST_DUE_STILL_ACCRUING_THRIFT" hidden="1">"c25240"</definedName>
    <definedName name="IQ_CONSTRUCTION_MORTGAGE_LOANS_DUE_90_THRIFT" hidden="1">"c25261"</definedName>
    <definedName name="IQ_CONSTRUCTION_MORTGAGE_LOANS_FORECLOSED_DURING_QUARTER_THRIFT" hidden="1">"c25231"</definedName>
    <definedName name="IQ_CONSTRUCTION_MORTGAGE_LOANS_NON_ACCRUAL_THRIFT" hidden="1">"c25282"</definedName>
    <definedName name="IQ_CONSTRUCTION_MORTGAGE_LOANS_THRIFT" hidden="1">"c24838"</definedName>
    <definedName name="IQ_CONSTRUCTION_MULTIFAMILY_DWELLING_UNITS_THRIFT" hidden="1">"c24840"</definedName>
    <definedName name="IQ_CONSTRUCTION_NONRES_PROPERTY_THRIFT" hidden="1">"c24841"</definedName>
    <definedName name="IQ_CONSUMER_AUTO_LOANS_DUE_90_THRIFT" hidden="1">"c25272"</definedName>
    <definedName name="IQ_CONSUMER_AUTO_LOANS_NON_MORTGAGE_ADJUSTED_NCOS_TOTAL_THRIFT" hidden="1">"c25214"</definedName>
    <definedName name="IQ_CONSUMER_AUTO_LOANS_NON_MORTGAGE_GVA_CHARGE_OFFS_THRIFT" hidden="1">"c25129"</definedName>
    <definedName name="IQ_CONSUMER_AUTO_LOANS_NON_MORTGAGE_GVA_RECOVERIES_THRIFT" hidden="1">"c25160"</definedName>
    <definedName name="IQ_CONSUMER_AUTO_LOANS_NON_MORTGAGE_LOANS_DUE_30_89_THRIFT" hidden="1">"c25251"</definedName>
    <definedName name="IQ_CONSUMER_AUTO_LOANS_NON_MORTGAGE_LOANS_NON_ACCRUAL_THRIFT" hidden="1">"c25293"</definedName>
    <definedName name="IQ_CONSUMER_AUTO_LOANS_NON_MORTGAGE_SVA_PROVISIONS_TRANSFERS_FROM_GVA_TOTAL_THRIFT" hidden="1">"c25183"</definedName>
    <definedName name="IQ_CONSUMER_CREDIT_CARD_LINES_UNUSED_FFIEC" hidden="1">"c25862"</definedName>
    <definedName name="IQ_CONSUMER_CREDIT_CARDS_NON_MORTGAGE_ADJUSTED_NCOS_TOTAL_THRIFT" hidden="1">"c25216"</definedName>
    <definedName name="IQ_CONSUMER_CREDIT_CARDS_NON_MORTGAGE_GVA_CHARGE_OFFS_THRIFT" hidden="1">"c25131"</definedName>
    <definedName name="IQ_CONSUMER_CREDIT_CARDS_NON_MORTGAGE_GVA_RECOVERIES_THRIFT" hidden="1">"c25162"</definedName>
    <definedName name="IQ_CONSUMER_CREDIT_CARDS_NON_MORTGAGE_LOANS_DUE_30_89_THRIFT" hidden="1">"c25253"</definedName>
    <definedName name="IQ_CONSUMER_CREDIT_CARDS_NON_MORTGAGE_LOANS_DUE_90_THRIFT" hidden="1">"c25274"</definedName>
    <definedName name="IQ_CONSUMER_CREDIT_CARDS_NON_MORTGAGE_LOANS_NON_ACCRUAL_THRIFT" hidden="1">"c25295"</definedName>
    <definedName name="IQ_CONSUMER_CREDIT_CARDS_NON_MORTGAGE_SVA_PROVISIONS_TRANSFERS_FROM_GVA_TOTAL_THRIFT" hidden="1">"c25185"</definedName>
    <definedName name="IQ_CONSUMER_EDUCATION_LOANS_NON_MORTGAGE_ADJUSTED_NCOS_TOTAL_THRIFT" hidden="1">"c25213"</definedName>
    <definedName name="IQ_CONSUMER_EDUCATION_LOANS_NON_MORTGAGE_GVA_CHARGE_OFFS_THRIFT" hidden="1">"c25128"</definedName>
    <definedName name="IQ_CONSUMER_EDUCATION_LOANS_NON_MORTGAGE_GVA_RECOVERIES_THRIFT" hidden="1">"c25159"</definedName>
    <definedName name="IQ_CONSUMER_EDUCATION_LOANS_NON_MORTGAGE_SVA_PROVISIONS_TRANSFERS_FROM_GVA_TOTAL_THRIFT" hidden="1">"c25182"</definedName>
    <definedName name="IQ_CONSUMER_EDUCATION_NON_MORTGAGE_LOANS_DUE_30_89_THRIFT" hidden="1">"c25250"</definedName>
    <definedName name="IQ_CONSUMER_EDUCATION_NON_MORTGAGE_LOANS_DUE_90_THRIFT" hidden="1">"c25271"</definedName>
    <definedName name="IQ_CONSUMER_EDUCATION_NON_MORTGAGE_LOANS_NON_ACCRUAL_THRIFT" hidden="1">"c25292"</definedName>
    <definedName name="IQ_CONSUMER_HOME_IMPROVEMENT_LOANS_NON_MORTGAGE_ADJUSTED_NCOS_TOTAL_THRIFT" hidden="1">"c25212"</definedName>
    <definedName name="IQ_CONSUMER_HOME_IMPROVEMENT_LOANS_NON_MORTGAGE_GVA_CHARGE_OFFS_THRIFT" hidden="1">"c25127"</definedName>
    <definedName name="IQ_CONSUMER_HOME_IMPROVEMENT_LOANS_NON_MORTGAGE_GVA_RECOVERIES_THRIFT" hidden="1">"c25158"</definedName>
    <definedName name="IQ_CONSUMER_HOME_IMPROVEMENT_LOANS_NON_MORTGAGE_SVA_PROVISIONS_TRANSFERS_FROM_GVA_TOTAL_THRIFT" hidden="1">"c25181"</definedName>
    <definedName name="IQ_CONSUMER_HOME_IMPROVEMENT_NON_MORTGAGE_LOANS_DUE_30_89_THRIFT" hidden="1">"c25249"</definedName>
    <definedName name="IQ_CONSUMER_HOME_IMPROVEMENT_NON_MORTGAGE_LOANS_DUE_90_THRIFT" hidden="1">"c25270"</definedName>
    <definedName name="IQ_CONSUMER_HOME_IMPROVEMENT_NON_MORTGAGE_LOANS_NON_ACCRUAL_THRIFT" hidden="1">"c25291"</definedName>
    <definedName name="IQ_CONSUMER_LL_REC_FFIEC" hidden="1">"c25869"</definedName>
    <definedName name="IQ_CONSUMER_LOANS_CHARGE_OFFS_FFIEC" hidden="1">"c25838"</definedName>
    <definedName name="IQ_CONSUMER_LOANS_DEPOSITS_NON_MORTGAGE_ADJUSTED_NCOS_TOTAL_THRIFT" hidden="1">"c25211"</definedName>
    <definedName name="IQ_CONSUMER_LOANS_DEPOSITS_NON_MORTGAGE_GVA_CHARGE_OFFS_THRIFT" hidden="1">"c25126"</definedName>
    <definedName name="IQ_CONSUMER_LOANS_DEPOSITS_NON_MORTGAGE_GVA_RECOVERIES_THRIFT" hidden="1">"c25157"</definedName>
    <definedName name="IQ_CONSUMER_LOANS_DEPOSITS_NON_MORTGAGE_LOANS_DUE_30_89_THRIFT" hidden="1">"c25248"</definedName>
    <definedName name="IQ_CONSUMER_LOANS_DEPOSITS_NON_MORTGAGE_LOANS_DUE_90_THRIFT" hidden="1">"c25269"</definedName>
    <definedName name="IQ_CONSUMER_LOANS_DEPOSITS_NON_MORTGAGE_LOANS_NON_ACCRUAL_THRIFT" hidden="1">"c25290"</definedName>
    <definedName name="IQ_CONSUMER_LOANS_DEPOSITS_NON_MORTGAGE_SVA_PROVISIONS_TRANSFERS_FROM_GVA_TOTAL_THRIFT" hidden="1">"c25180"</definedName>
    <definedName name="IQ_CONSUMER_LOANS_DEPOSITS_THRIFT" hidden="1">"c24859"</definedName>
    <definedName name="IQ_CONSUMER_LOANS_DUE_30_89_FFIEC" hidden="1">"c25829"</definedName>
    <definedName name="IQ_CONSUMER_LOANS_DUE_90_FFIEC" hidden="1">"c25830"</definedName>
    <definedName name="IQ_CONSUMER_LOANS_NON_ACCRUAL_FFIEC" hidden="1">"c25831"</definedName>
    <definedName name="IQ_CONSUMER_LOANS_RECOV_FFIEC" hidden="1">"c25839"</definedName>
    <definedName name="IQ_CONSUMER_LOANS_THRIFT" hidden="1">"c24858"</definedName>
    <definedName name="IQ_CONSUMER_LOANS_TOTAL_LOANS_THRIFT" hidden="1">"c25750"</definedName>
    <definedName name="IQ_CONSUMER_MOBILE_HOME_LOANS_NON_MORTGAGE_ADJUSTED_NCOS_TOTAL_THRIFT" hidden="1">"c25215"</definedName>
    <definedName name="IQ_CONSUMER_MOBILE_HOME_LOANS_NON_MORTGAGE_GVA_CHARGE_OFFS_THRIFT" hidden="1">"c25130"</definedName>
    <definedName name="IQ_CONSUMER_MOBILE_HOME_LOANS_NON_MORTGAGE_GVA_RECOVERIES_THRIFT" hidden="1">"c25161"</definedName>
    <definedName name="IQ_CONSUMER_MOBILE_HOME_LOANS_NON_MORTGAGE_LOANS_DUE_30_89_THRIFT" hidden="1">"c25252"</definedName>
    <definedName name="IQ_CONSUMER_MOBILE_HOME_LOANS_NON_MORTGAGE_LOANS_DUE_90_THRIFT" hidden="1">"c25273"</definedName>
    <definedName name="IQ_CONSUMER_MOBILE_HOME_LOANS_NON_MORTGAGE_LOANS_NON_ACCRUAL_THRIFT" hidden="1">"c25294"</definedName>
    <definedName name="IQ_CONSUMER_MOBILE_HOME_LOANS_NON_MORTGAGE_SVA_PROVISIONS_TRANSFERS_FROM_GVA_TOTAL_THRIFT" hidden="1">"c25184"</definedName>
    <definedName name="IQ_CONSUMER_OTHER_NON_MORTGAGE_ADJUSTED_NCOS_TOTAL_THRIFT" hidden="1">"c25217"</definedName>
    <definedName name="IQ_CONSUMER_OTHER_NON_MORTGAGE_GVA_RECOVERIES_THRIFT" hidden="1">"c25163"</definedName>
    <definedName name="IQ_CONSUMER_OTHER_NON_MORTGAGE_LOANS_DUE_30_89_THRIFT" hidden="1">"c25254"</definedName>
    <definedName name="IQ_CONSUMER_OTHER_NON_MORTGAGE_LOANS_DUE_90_THRIFT" hidden="1">"c25275"</definedName>
    <definedName name="IQ_CONSUMER_OTHER_NON_MORTGAGE_LOANS_GVA_CHARGE_OFFS_THRIFT" hidden="1">"c25132"</definedName>
    <definedName name="IQ_CONSUMER_OTHER_NON_MORTGAGE_LOANS_NON_ACCRUAL_THRIFT" hidden="1">"c25296"</definedName>
    <definedName name="IQ_CONSUMER_OTHER_NON_MORTGAGE_SVA_PROVISIONS_TRANSFERS_FROM_GVA_TOTAL_THRIFT" hidden="1">"c25186"</definedName>
    <definedName name="IQ_CONTINGENT_ASSETS_THRIFT" hidden="1">"c25622"</definedName>
    <definedName name="IQ_CONTINGENT_RENTAL" hidden="1">"c17746"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E_DEPOSITS_THRIFT" hidden="1">"c25089"</definedName>
    <definedName name="IQ_CORE_DEPOSITS_TOTAL_ASSETS_THRIFT" hidden="1">"c25699"</definedName>
    <definedName name="IQ_CORE_DEPOSITS_TOTAL_DEPOSITS_THRIFT" hidden="1">"c25782"</definedName>
    <definedName name="IQ_CORP_PROFIT" hidden="1">"c20636"</definedName>
    <definedName name="IQ_CORP_PROFITS_AFTER_TAXES" hidden="1">"c20637"</definedName>
    <definedName name="IQ_CORP_PROFITS_TAXES" hidden="1">"c20638"</definedName>
    <definedName name="IQ_CORPORATE_MUNICIPAL_TRUSTEESHIPS_NUMBER_ISSUES_THRIFT" hidden="1">"c25441"</definedName>
    <definedName name="IQ_CORPORATE_MUNICIPAL_TRUSTEESHIPS_PRINCIPAL_AMT_OUTSTANDING_THRIFT" hidden="1">"c25440"</definedName>
    <definedName name="IQ_CORPORATE_TRUST_AGENCY_ACCOUNTS_INC_THRIFT" hidden="1">"c24805"</definedName>
    <definedName name="IQ_CORPORATE_TRUST_AGENCY_ACCOUNTS_MANAGED_ASSETS_THRIFT" hidden="1">"c25352"</definedName>
    <definedName name="IQ_CORPORATE_TRUST_AGENCY_ACCOUNTS_NONMANAGED_ASSETS_THRIFT" hidden="1">"c25373"</definedName>
    <definedName name="IQ_CORPORATE_TRUST_AGENCY_ACCOUNTS_NUMBER_MANAGED_ACCOUNTS_THRIFT" hidden="1">"c25363"</definedName>
    <definedName name="IQ_CORPORATE_TRUST_AGENCY_ACCOUNTS_NUMBER_NONMANAGED_ACCOUNTS_THRIFT" hidden="1">"c25385"</definedName>
    <definedName name="IQ_COST_FED_FUNDS_PURCHASED_THRIFT" hidden="1">"c25681"</definedName>
    <definedName name="IQ_COST_INT_BEARING_DEPOSITS_THRIFT" hidden="1">"c25680"</definedName>
    <definedName name="IQ_COST_OF_FUNDING_ASSETS_FDIC" hidden="1">"c6725"</definedName>
    <definedName name="IQ_COST_OTHER_BORROWED_FUNDS_THRIFT" hidden="1">"c25682"</definedName>
    <definedName name="IQ_CPI_YOY_PCT" hidden="1">"c20639"</definedName>
    <definedName name="IQ_CPI_YOY_PCT_FC" hidden="1">"c20640"</definedName>
    <definedName name="IQ_CQ" hidden="1">5000</definedName>
    <definedName name="IQ_CREDIT_CARD_CHARGE_OFFS_FDIC" hidden="1">"c6652"</definedName>
    <definedName name="IQ_CREDIT_CARD_CHARGE_OFFS_RELATED_ACCRUED_INTEREST_THRIFT" hidden="1">"c25228"</definedName>
    <definedName name="IQ_CREDIT_CARD_LINES_FDIC" hidden="1">"c6525"</definedName>
    <definedName name="IQ_CREDIT_CARD_LOANS_FDIC" hidden="1">"c6319"</definedName>
    <definedName name="IQ_CREDIT_CARD_LOANS_GROSS_LOANS_THRIFT" hidden="1">"c25734"</definedName>
    <definedName name="IQ_CREDIT_CARD_LOANS_OUTSTANDING_BUS_NON_MORTGAGE_COMM_LOANS_THRIFT" hidden="1">"c24856"</definedName>
    <definedName name="IQ_CREDIT_CARD_LOANS_RELATED_CHARGE_OFFS_FFIEC" hidden="1">"c25840"</definedName>
    <definedName name="IQ_CREDIT_CARD_LOANS_RELATED_RECOV_FFIEC" hidden="1">"c25841"</definedName>
    <definedName name="IQ_CREDIT_CARD_LOANS_RISK_BASED_CAPITAL_THRIFT" hidden="1">"c25719"</definedName>
    <definedName name="IQ_CREDIT_CARD_NET_CHARGE_OFFS_FDIC" hidden="1">"c6654"</definedName>
    <definedName name="IQ_CREDIT_CARD_RECOVERIES_FDIC" hidden="1">"c6653"</definedName>
    <definedName name="IQ_CREDIT_CARD_RELATED_LL_REC_FFIEC" hidden="1">"c25870"</definedName>
    <definedName name="IQ_CREDIT_CARDS_CONSUMER_OPEN_END_LINES_CREDIT_THRIFT" hidden="1">"c25609"</definedName>
    <definedName name="IQ_CREDIT_CARDS_OTHER_OPEN_END_LINES_CREDIT_THRIFT" hidden="1">"c25610"</definedName>
    <definedName name="IQ_CREDIT_CARDS_THRIFT" hidden="1">"c24864"</definedName>
    <definedName name="IQ_CREDIT_LOSS_PROVISION_NET_CHARGE_OFFS_FDIC" hidden="1">"c6734"</definedName>
    <definedName name="IQ_CUM_EFFECT_CHANGE_ACCOUNTING_FFIEC" hidden="1">"c25849"</definedName>
    <definedName name="IQ_CUMULATIVE_PREF_THRIFT" hidden="1">"c24915"</definedName>
    <definedName name="IQ_CURR_ACCT_BALANCE" hidden="1">"c20641"</definedName>
    <definedName name="IQ_CURR_ACCT_BALANCE_PCT_GDP" hidden="1">"c20642"</definedName>
    <definedName name="IQ_CURRENCY_COIN_DOMESTIC_FDIC" hidden="1">"c6388"</definedName>
    <definedName name="IQ_CURRENCY_GAIN_CM" hidden="1">"c236"</definedName>
    <definedName name="IQ_CURRENT_PORT_DEBT_CM" hidden="1">"c1567"</definedName>
    <definedName name="IQ_CURRENT_PORT_DEBT_DERIVATIVES" hidden="1">"c17742"</definedName>
    <definedName name="IQ_CUSTODY_SAFEKEEPING_ACCOUNTS_INC_THRIFT" hidden="1">"c24809"</definedName>
    <definedName name="IQ_CUSTODY_SAFEKEEPING_ACCOUNTS_NONMANAGED_ASSETS_THRIFT" hidden="1">"c25377"</definedName>
    <definedName name="IQ_CUSTODY_SAFEKEEPING_ACCOUNTS_NUMBER_NONMANAGED_ACCOUNTS_THRIFT" hidden="1">"c25389"</definedName>
    <definedName name="IQ_CY" hidden="1">10000</definedName>
    <definedName name="IQ_DA_CF_CM" hidden="1">"c251"</definedName>
    <definedName name="IQ_DA_CM" hidden="1">"c248"</definedName>
    <definedName name="IQ_DA_SUPPL_CF_CM" hidden="1">"c263"</definedName>
    <definedName name="IQ_DA_SUPPL_CM" hidden="1">"c260"</definedName>
    <definedName name="IQ_DAILY" hidden="1">500000</definedName>
    <definedName name="IQ_DART" hidden="1">"c20427"</definedName>
    <definedName name="IQ_DATA_SET" hidden="1">"c19244"</definedName>
    <definedName name="IQ_DEBT_SECURITIES_LESS_THAN_1YR_INV_SEC_THRIFT" hidden="1">"c25676"</definedName>
    <definedName name="IQ_DEBT_SECURITIES_OVER_1YR_INV_SEC_THRIFT" hidden="1">"c25677"</definedName>
    <definedName name="IQ_DEDUCTION_EQUITY_INV_OTHER_ASSETS_THRIFT" hidden="1">"c25047"</definedName>
    <definedName name="IQ_DEDUCTION_LOW_LEVEL_RECOURSE_RESIDUAL_INTERESTS_THRIFT" hidden="1">"c25048"</definedName>
    <definedName name="IQ_DEF_AMORT_CM" hidden="1">"c278"</definedName>
    <definedName name="IQ_DEF_CHARGES_CM" hidden="1">"c288"</definedName>
    <definedName name="IQ_DEF_CHARGES_LT_CM" hidden="1">"c294"</definedName>
    <definedName name="IQ_DEF_TAX_ASSET_LT_CM" hidden="1">"c304"</definedName>
    <definedName name="IQ_DEF_TAX_LIAB_LT_CM" hidden="1">"c315"</definedName>
    <definedName name="IQ_DEFERRED_INCOME_TAXES_THRIFT" hidden="1">"c24911"</definedName>
    <definedName name="IQ_DEMAND_DEPOSITS_CONSOLIDATED_SUBSIDIARIES_THRIFT" hidden="1">"c25570"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ACQUIRED_NET_DISPOSITIONS_IN_BULK_TRANSACTIONS_THRIFT" hidden="1">"c25345"</definedName>
    <definedName name="IQ_DEPOSITS_AMOUNTS_NETTED_THRIFT" hidden="1">"c25534"</definedName>
    <definedName name="IQ_DEPOSITS_ESCROWS_THRIFT" hidden="1">"c24895"</definedName>
    <definedName name="IQ_DEPOSITS_EXCLUDING_RETIREMENT_ACCOUNTS_GREATER_THAN_250000_THRIFT" hidden="1">"c24986"</definedName>
    <definedName name="IQ_DEPOSITS_EXCLUDING_RETIREMENT_ACCOUNTS_LESS_THAN_250000_THRIFT" hidden="1">"c24985"</definedName>
    <definedName name="IQ_DEPOSITS_HELD_DOMESTIC_FDIC" hidden="1">"c6340"</definedName>
    <definedName name="IQ_DEPOSITS_HELD_FOREIGN_FDIC" hidden="1">"c6341"</definedName>
    <definedName name="IQ_DEPOSITS_INV_SEC_GVA_CHARGE_OFFS_THRIFT" hidden="1">"c25112"</definedName>
    <definedName name="IQ_DEPOSITS_INV_SEC_GVA_RECOVERIES_THRIFT" hidden="1">"c25143"</definedName>
    <definedName name="IQ_DEPOSITS_INV_SEC_SVA_PROVISIONS_TRANSFERS_FROM_GVA_THRIFT" hidden="1">"c25166"</definedName>
    <definedName name="IQ_DEPOSITS_INV_SEC_TOTAL_THRIFT" hidden="1">"c25197"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THRIFT" hidden="1">"c25530"</definedName>
    <definedName name="IQ_DEPOSITS_LEVEL_2_THRIFT" hidden="1">"c25531"</definedName>
    <definedName name="IQ_DEPOSITS_LEVEL_3_THRIFT" hidden="1">"c25532"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OSITS_THRIFT" hidden="1">"c24896"</definedName>
    <definedName name="IQ_DEPOSITS_TOTAL_AFTER_NETTING_THRIFT" hidden="1">"c25535"</definedName>
    <definedName name="IQ_DEPOSITS_TOTAL_BEFORE_NETTING_THRIFT" hidden="1">"c25533"</definedName>
    <definedName name="IQ_DEPRECIATION_RENTAL_ASSETS" hidden="1">"c26972"</definedName>
    <definedName name="IQ_DEPRECIATION_RENTAL_ASSETS_CF" hidden="1">"c26973"</definedName>
    <definedName name="IQ_DERIVATIVE_ASSETS_AMOUNTS_NETTED_THRIFT" hidden="1">"c25510"</definedName>
    <definedName name="IQ_DERIVATIVE_ASSETS_CURRENT" hidden="1">"c17744"</definedName>
    <definedName name="IQ_DERIVATIVE_ASSETS_LEVEL_1_THRIFT" hidden="1">"c25506"</definedName>
    <definedName name="IQ_DERIVATIVE_ASSETS_LEVEL_2_THRIFT" hidden="1">"c25507"</definedName>
    <definedName name="IQ_DERIVATIVE_ASSETS_LEVEL_3_THRIFT" hidden="1">"c25508"</definedName>
    <definedName name="IQ_DERIVATIVE_ASSETS_LT" hidden="1">"c17745"</definedName>
    <definedName name="IQ_DERIVATIVE_ASSETS_TOTAL_AFTER_NETTING_THRIFT" hidden="1">"c25511"</definedName>
    <definedName name="IQ_DERIVATIVE_ASSETS_TOTAL_BEFORE_NETTING_THRIFT" hidden="1">"c25509"</definedName>
    <definedName name="IQ_DERIVATIVE_LIAB_CURRENT" hidden="1">"c17873"</definedName>
    <definedName name="IQ_DERIVATIVE_LIAB_NON_CURRENT" hidden="1">"c17874"</definedName>
    <definedName name="IQ_DERIVATIVE_LIABILITIES_AMOUNTS_NETTED_THRIFT" hidden="1">"c25552"</definedName>
    <definedName name="IQ_DERIVATIVE_LIABILITIES_LEVEL_1_THRIFT" hidden="1">"c25548"</definedName>
    <definedName name="IQ_DERIVATIVE_LIABILITIES_LEVEL_2_THRIFT" hidden="1">"c25549"</definedName>
    <definedName name="IQ_DERIVATIVE_LIABILITIES_LEVEL_3_THRIFT" hidden="1">"c25550"</definedName>
    <definedName name="IQ_DERIVATIVE_LIABILITIES_TOTAL_AFTER_NETTING_THRIFT" hidden="1">"c25553"</definedName>
    <definedName name="IQ_DERIVATIVE_LIABILITIES_TOTAL_BEFORE_NETTING_THRIFT" hidden="1">"c25551"</definedName>
    <definedName name="IQ_DERIVATIVE_TRADING_ASSETS" hidden="1">"c17875"</definedName>
    <definedName name="IQ_DERIVATIVES_FDIC" hidden="1">"c6523"</definedName>
    <definedName name="IQ_DISALLOWED_SERVICING_OTHER_ASSETS_ADJUSTED_ASSETS_THRIFT" hidden="1">"c25033"</definedName>
    <definedName name="IQ_DISALLOWED_SERVICING_OTHER_ASSETS_T1_THRIFT" hidden="1">"c25024"</definedName>
    <definedName name="IQ_DISBURSED_CONSTRUCTION_MORTGAGE_LOANS_1_4_DWELLING_UNITS_THRIFT" hidden="1">"c25317"</definedName>
    <definedName name="IQ_DISBURSED_CONSTRUCTION_MORTGAGE_LOANS_MULTIFAMILY_5_MORE_DWELLING_UNITS_THRIFT" hidden="1">"c25318"</definedName>
    <definedName name="IQ_DISBURSED_CONSTRUCTION_MORTGAGE_LOANS_NONRES_THRIFT" hidden="1">"c25319"</definedName>
    <definedName name="IQ_DISBURSED_PML_1_4_DWELLING_UNITS_THRIFT" hidden="1">"c25320"</definedName>
    <definedName name="IQ_DISBURSED_PML_HOME_EQUITY_JUNIOR_LIENS_THRIFT" hidden="1">"c25321"</definedName>
    <definedName name="IQ_DISBURSED_PML_LAND_THRIFT" hidden="1">"c25324"</definedName>
    <definedName name="IQ_DISBURSED_PML_MULTIFAMILY_5_MORE_DWELLING_UNITS_THRIFT" hidden="1">"c25322"</definedName>
    <definedName name="IQ_DISBURSED_PML_NONRES_EXCEPT_LAND_THRIFT" hidden="1">"c25323"</definedName>
    <definedName name="IQ_DISTRIBUTABLE_CASH_STANDARDIZED" hidden="1">"c20435"</definedName>
    <definedName name="IQ_DIV_AMOUNT_LIST" hidden="1">"c17417"</definedName>
    <definedName name="IQ_DIV_PAYMENT_DATE_LIST" hidden="1">"c17418"</definedName>
    <definedName name="IQ_DIV_PAYMENT_TYPE_LIST" hidden="1">"c17419"</definedName>
    <definedName name="IQ_DIV_RECORD_DATE_LIST" hidden="1">"c17420"</definedName>
    <definedName name="IQ_DIVIDEND_INCOME_FHLB_STOCK_THRIFT" hidden="1">"c24754"</definedName>
    <definedName name="IQ_DIVIDEND_INCOME_OTHER_EQUITY_INV_THRIFT" hidden="1">"c24755"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_PARENT_EXCL_EXTRA" hidden="1">"c25791"</definedName>
    <definedName name="IQ_EARNINGS_BEFORE_TAXES_AVG_ASSETS_THRIFT" hidden="1">"c25656"</definedName>
    <definedName name="IQ_EARNINGS_CO_THRIFT" hidden="1">"c24796"</definedName>
    <definedName name="IQ_EARNINGS_COVERAGE_NET_CHARGE_OFFS_FDIC" hidden="1">"c6735"</definedName>
    <definedName name="IQ_EARNINGS_COVERAGE_NET_LOSSES_THRIFT" hidden="1">"c25641"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T_CM" hidden="1">"c378"</definedName>
    <definedName name="IQ_EBT_EXCL_CM" hidden="1">"c381"</definedName>
    <definedName name="IQ_EBT_THRIFT" hidden="1">"c24794"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DUCATION_LOANS_THRIFT" hidden="1">"c24861"</definedName>
    <definedName name="IQ_EFFICIENCY_RATIO_FDIC" hidden="1">"c6736"</definedName>
    <definedName name="IQ_EMPLOYMENT_YOY" hidden="1">"c20643"</definedName>
    <definedName name="IQ_ENDING_BALANCE_GVA_THRIFT" hidden="1">"c25097"</definedName>
    <definedName name="IQ_ENDING_BALANCE_SVA_THRIFT" hidden="1">"c25104"</definedName>
    <definedName name="IQ_ENDING_BALANCE_TVA_THRIFT" hidden="1">"c25111"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QUITY_ASKPRICE" hidden="1">"c17798"</definedName>
    <definedName name="IQ_EQUITY_BIDPRICE" hidden="1">"c17797"</definedName>
    <definedName name="IQ_EQUITY_CAPITAL_ASSETS_FDIC" hidden="1">"c6744"</definedName>
    <definedName name="IQ_EQUITY_FDIC" hidden="1">"c6353"</definedName>
    <definedName name="IQ_EQUITY_INV_NOT_CARRIED_FV_ADJUSTED_NCOS_THRIFT" hidden="1">"c25226"</definedName>
    <definedName name="IQ_EQUITY_INV_NOT_CARRIED_FV_SVA_PROVISIONS_TRANSFERS_FROM_GVA_THRIFT" hidden="1">"c25195"</definedName>
    <definedName name="IQ_EQUITY_INV_NOT_SUBJECT_SFAS_NO115_GVA_CHARGE_OFFS_THRIFT" hidden="1">"c25141"</definedName>
    <definedName name="IQ_EQUITY_INV_NOT_SUBJECT_SFAS_NO115_GVA_RECOVERIES_THRIFT" hidden="1">"c25164"</definedName>
    <definedName name="IQ_EQUITY_MIDPRICE" hidden="1">"c17799"</definedName>
    <definedName name="IQ_EQUITY_SEC_FAIR_VALUE_AFS_AMORT_COST_FFIEC" hidden="1">"c20505"</definedName>
    <definedName name="IQ_EQUITY_SEC_FAIR_VALUE_AFS_FAIR_VAL_FFIEC" hidden="1">"c20470"</definedName>
    <definedName name="IQ_EQUITY_SEC_FV_THRIFT" hidden="1">"c24823"</definedName>
    <definedName name="IQ_EQUITY_SECURITIES_FDIC" hidden="1">"c6304"</definedName>
    <definedName name="IQ_EQUITY_SECURITY_EXPOSURES_FDIC" hidden="1">"c6664"</definedName>
    <definedName name="IQ_ESCROWS_THRIFT" hidden="1">"c24897"</definedName>
    <definedName name="IQ_ESTIMATED_ASSESSABLE_DEPOSITS_FDIC" hidden="1">"c6490"</definedName>
    <definedName name="IQ_ESTIMATED_INSURED_DEPOSITS_FDIC" hidden="1">"c6491"</definedName>
    <definedName name="IQ_EXCEL_DATA_METHOD" hidden="1">"c16229"</definedName>
    <definedName name="IQ_EXCESS_ALLOWANCE_LL_LOSSES_THRIFT" hidden="1">"c25078"</definedName>
    <definedName name="IQ_EXPORT_USD" hidden="1">"c20650"</definedName>
    <definedName name="IQ_EXTRA_ACC_ITEMS_CM" hidden="1">"c412"</definedName>
    <definedName name="IQ_EXTRAORDINARY_GAINS_FDIC" hidden="1">"c6586"</definedName>
    <definedName name="IQ_EXTRAORDINARY_ITEMS_AVG_ASSETS_THRIFT" hidden="1">"c25659"</definedName>
    <definedName name="IQ_EXTRAORDINARY_ITEMS_THRIFT" hidden="1">"c24797"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_INFLOWS" hidden="1">"c20651"</definedName>
    <definedName name="IQ_FDI_NET" hidden="1">"c20652"</definedName>
    <definedName name="IQ_FDI_OUTFLOWS" hidden="1">"c20653"</definedName>
    <definedName name="IQ_FDIC_CERT_NUMBER_FFIEC" hidden="1">"c20507"</definedName>
    <definedName name="IQ_FED_FUND_PURCHASED_SEC_SOLD_REPURCHASE_THRIFT" hidden="1">"c24901"</definedName>
    <definedName name="IQ_FED_FUND_SOLD_SEC_PURCHASED_RESELL_THRIFT" hidden="1">"c24821"</definedName>
    <definedName name="IQ_FED_FUNDS_PURCHASED_FDIC" hidden="1">"c6343"</definedName>
    <definedName name="IQ_FED_FUNDS_PURCHASED_REPOS_TOTAL_ASSETS_THRIFT" hidden="1">"c25702"</definedName>
    <definedName name="IQ_FED_FUNDS_SOLD_FDIC" hidden="1">"c6307"</definedName>
    <definedName name="IQ_FEDERAL_FUNDS_PURCHASED_SEC_SOLD_UNDER_AGREEMENTS_REPURCHASE_AMOUNTS_NETTED_THRIFT" hidden="1">"c25528"</definedName>
    <definedName name="IQ_FEDERAL_FUNDS_PURCHASED_SEC_SOLD_UNDER_AGREEMENTS_REPURCHASE_LEVEL_1_THRIFT" hidden="1">"c25524"</definedName>
    <definedName name="IQ_FEDERAL_FUNDS_PURCHASED_SEC_SOLD_UNDER_AGREEMENTS_REPURCHASE_LEVEL_2_THRIFT" hidden="1">"c25525"</definedName>
    <definedName name="IQ_FEDERAL_FUNDS_PURCHASED_SEC_SOLD_UNDER_AGREEMENTS_REPURCHASE_LEVEL_3_THRIFT" hidden="1">"c25526"</definedName>
    <definedName name="IQ_FEDERAL_FUNDS_PURCHASED_SEC_SOLD_UNDER_AGREEMENTS_REPURCHASE_TOTAL_AFTER_NETTING_THRIFT" hidden="1">"c25529"</definedName>
    <definedName name="IQ_FEDERAL_FUNDS_PURCHASED_SEC_SOLD_UNDER_AGREEMENTS_REPURCHASE_TOTAL_BEFORE_NETTING_THRIFT" hidden="1">"c25527"</definedName>
    <definedName name="IQ_FEDERAL_FUNDS_SOLD_SEC_PURCHASED_UNDER_AGREEMENTS_RESELL_AMOUNTS_NETTED_THRIFT" hidden="1">"c25480"</definedName>
    <definedName name="IQ_FEDERAL_FUNDS_SOLD_SEC_PURCHASED_UNDER_AGREEMENTS_RESELL_LEVEL_1_THRIFT" hidden="1">"c25476"</definedName>
    <definedName name="IQ_FEDERAL_FUNDS_SOLD_SEC_PURCHASED_UNDER_AGREEMENTS_RESELL_LEVEL_2_THRIFT" hidden="1">"c25477"</definedName>
    <definedName name="IQ_FEDERAL_FUNDS_SOLD_SEC_PURCHASED_UNDER_AGREEMENTS_RESELL_LEVEL_3_THRIFT" hidden="1">"c25478"</definedName>
    <definedName name="IQ_FEDERAL_FUNDS_SOLD_SEC_PURCHASED_UNDER_AGREEMENTS_RESELL_TOTAL_AFTER_NETTING_THRIFT" hidden="1">"c25481"</definedName>
    <definedName name="IQ_FEDERAL_FUNDS_SOLD_SEC_PURCHASED_UNDER_AGREEMENTS_RESELL_TOTAL_BEFORE_NETTING_THRIFT" hidden="1">"c25479"</definedName>
    <definedName name="IQ_FEDERAL_INC_TAXES_THRIFT" hidden="1">"c24816"</definedName>
    <definedName name="IQ_FEE_INCOME_COMM_LOANS_THRIFT" hidden="1">"c24751"</definedName>
    <definedName name="IQ_FEE_INCOME_CONSUMER_LOANS_THRIFT" hidden="1">"c24752"</definedName>
    <definedName name="IQ_FEE_INCOME_MORTGAGE_LOANS_THRIFT" hidden="1">"c24750"</definedName>
    <definedName name="IQ_FH" hidden="1">100000</definedName>
    <definedName name="IQ_FHLB_ADVANCES_FDIC" hidden="1">"c6366"</definedName>
    <definedName name="IQ_FHLB_STOCK_NOT_CARRIED_FV_THRIFT" hidden="1">"c24880"</definedName>
    <definedName name="IQ_FIDUCIARY_ACTIVITIES_FDIC" hidden="1">"c6571"</definedName>
    <definedName name="IQ_FIDUCIARY_ACTIVITIES_INCOME_ADJUSTED_OPERATING_INCOME_THRIFT" hidden="1">"c25689"</definedName>
    <definedName name="IQ_FIDUCIARY_MANAGED_ASSETS_THRIFT" hidden="1">"c25438"</definedName>
    <definedName name="IQ_FIDUCIARY_RELATED_SERVICES_EXP_THRIFT" hidden="1">"c24812"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ARCHITECTURE" hidden="1">"c20386"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MINORITY_INT_REDEEM" hidden="1">"c25788"</definedName>
    <definedName name="IQ_FIN_DIV_MINORITY_INTEREST" hidden="1">"c25790"</definedName>
    <definedName name="IQ_FIN_DIV_NOTES_PAY_TOTAL" hidden="1">"c5522"</definedName>
    <definedName name="IQ_FIN_INST_UNUSED_FFIEC" hidden="1">"c25860"</definedName>
    <definedName name="IQ_FINANCIAL_ASSETS_CARRIED_FV_THROUGH_EARNINGS_THRIFT" hidden="1">"c24931"</definedName>
    <definedName name="IQ_FINANCIAL_ASSETS_HELD_TRADING_PURPOSES_THRIFT" hidden="1">"c24930"</definedName>
    <definedName name="IQ_FINANCIAL_LIABILITIES_CARRIED_FV_THROUGH_EARNINGS_THRIFT" hidden="1">"c24932"</definedName>
    <definedName name="IQ_FISCAL_BALANCE_PCT_GDP" hidden="1">"c20654"</definedName>
    <definedName name="IQ_FISCAL_YEAR_END_THRIFT" hidden="1">"c25020"</definedName>
    <definedName name="IQ_FIVE_YEAR_FIXED_AND_FLOATING_RATE_FDIC" hidden="1">"c6422"</definedName>
    <definedName name="IQ_FIVE_YEAR_MORTGAGE_PASS_THROUGHS_FDIC" hidden="1">"c6414"</definedName>
    <definedName name="IQ_FIXED_RATE_DEBT" hidden="1">"c17894"</definedName>
    <definedName name="IQ_FIXED_RATE_DEBT_PCT" hidden="1">"c18008"</definedName>
    <definedName name="IQ_FLOAT" hidden="1">"c17421"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UNDATIONS_ENDOWMENT_ACCOUNTS_MANAGED_ASSETS_THRIFT" hidden="1">"c25354"</definedName>
    <definedName name="IQ_FOUNDATIONS_ENDOWMENT_ACCOUNTS_NONMANAGED_ASSETS_THRIFT" hidden="1">"c25375"</definedName>
    <definedName name="IQ_FOUNDATIONS_ENDOWMENT_ACCOUNTS_NUMBER_MANAGED_ACCOUNTS_THRIFT" hidden="1">"c25365"</definedName>
    <definedName name="IQ_FOUNDATIONS_ENDOWMENT_ACCOUNTS_NUMBER_NONMANAGED_ACCOUNTS_THRIFT" hidden="1">"c25387"</definedName>
    <definedName name="IQ_FOUNDATIONS_ENDOWMENTS_INC_THRIFT" hidden="1">"c24807"</definedName>
    <definedName name="IQ_FQ" hidden="1">500</definedName>
    <definedName name="IQ_FULLY_INSURED_BROKERED_TIME_DEPOSITS_THRIFT" hidden="1">"c25005"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GEOGRAPHIC_MANDATE" hidden="1">"c19195"</definedName>
    <definedName name="IQ_FUND_MARKET_CAP_EMPHASIS" hidden="1">"c19197"</definedName>
    <definedName name="IQ_FUND_SECTOR_EMPHASIS" hidden="1">"c19196"</definedName>
    <definedName name="IQ_FUND_VEHICLE_TYPE" hidden="1">"c19194"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 hidden="1">1000</definedName>
    <definedName name="IQ_GAAP_COMBINED_RATIO" hidden="1">"c2781"</definedName>
    <definedName name="IQ_GAAP_COMBINED_RATIO_EXCL_CL" hidden="1">"c2782"</definedName>
    <definedName name="IQ_GAAP_EXPENSE_RATIO" hidden="1">"c2780"</definedName>
    <definedName name="IQ_GAAP_LOSS" hidden="1">"c2779"</definedName>
    <definedName name="IQ_GAIN_ASSETS_CF_CM" hidden="1">"c457"</definedName>
    <definedName name="IQ_GAIN_ASSETS_CM" hidden="1">"c454"</definedName>
    <definedName name="IQ_GAIN_ASSETS_REV_CM" hidden="1">"c474"</definedName>
    <definedName name="IQ_GAIN_INVEST_CF_CM" hidden="1">"c482"</definedName>
    <definedName name="IQ_GAIN_INVEST_CM" hidden="1">"c1464"</definedName>
    <definedName name="IQ_GAIN_INVEST_REV_CM" hidden="1">"c496"</definedName>
    <definedName name="IQ_GAIN_SALE_LOANS_FDIC" hidden="1">"c6673"</definedName>
    <definedName name="IQ_GAIN_SALE_RE_FDIC" hidden="1">"c6674"</definedName>
    <definedName name="IQ_GAINS_BARGAIN_PURCHASES_FFIEC" hidden="1">"c25844"</definedName>
    <definedName name="IQ_GAINS_SALE_ASSETS_FDIC" hidden="1">"c6675"</definedName>
    <definedName name="IQ_GAINS_SEC_AVAILABLE_SALE_AVG_ASSETS_THRIFT" hidden="1">"c25655"</definedName>
    <definedName name="IQ_GAINS_SEC_HELD_MATURITY_AVG_ASSETS_THRIFT" hidden="1">"c25654"</definedName>
    <definedName name="IQ_GENERAL_OBLIGATIONS_STATE_LOCAL_GOVERNMENTS_ELIGIBLE_20_PCT_RISK_WEIGHT_THRIFT" hidden="1">"c25059"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INTANGIBLE_ASSETS_THRIFT" hidden="1">"c24887"</definedName>
    <definedName name="IQ_GOODWILL_OTHER_INTANGIBLE_ASSETS_ADJUSTED_ASSETS_THRIFT" hidden="1">"c25032"</definedName>
    <definedName name="IQ_GOODWILL_OTHER_INTANGIBLE_ASSETS_T1_THRIFT" hidden="1">"c25023"</definedName>
    <definedName name="IQ_GOODWILL_OTHER_INTANGIBLE_ASSETS_THRIFT" hidden="1">"c24890"</definedName>
    <definedName name="IQ_GOODWILL_OTHER_INTANGIBLES_EXP_THRIFT" hidden="1">"c24791"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ROSS_GW" hidden="1">"c17750"</definedName>
    <definedName name="IQ_GROSS_INTAN_ASSETS" hidden="1">"c17748"</definedName>
    <definedName name="IQ_GROSS_LOAN_AVG_LOANS_THRIFT" hidden="1">"c25636"</definedName>
    <definedName name="IQ_GUARANTEED_PORTION_OTHER_LOANS_LEASES_EXCLUDE_REBOOKED_GNMA_LOANS_DUE_90_THRIFT" hidden="1">"c25280"</definedName>
    <definedName name="IQ_GUARANTEED_PORTION_OTHER_LOANS_LEASES_EXCLUDE_REBOOKED_GNMA_LOANS_NON_ACCRUAL_THRIFT" hidden="1">"c25301"</definedName>
    <definedName name="IQ_GUARTANTEED_PORTION_OTHER_LOANS_LEASES_EXCLUDE_REBOOKED_GNMA_LOANS_DUE_30_89_THRIFT" hidden="1">"c25259"</definedName>
    <definedName name="IQ_GW_AMORT_CM" hidden="1">"c532"</definedName>
    <definedName name="IQ_GW_INTAN_AMORT_CF_CM" hidden="1">"c1473"</definedName>
    <definedName name="IQ_GW_INTAN_AMORT_CM" hidden="1">"c1470"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OLDER_INSTITUTION_TYPE" hidden="1">"c24729"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QUITY_ASSETS" hidden="1">"c26966"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EQUITY_LOANS_TOTAL_LOANS_THRIFT" hidden="1">"c25748"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IMPROVEMENT_LOANS_NOT_SECURED_RE_THRIFT" hidden="1">"c24860"</definedName>
    <definedName name="IQ_HOUSING_30YR_MORTGAGE" hidden="1">"c20753"</definedName>
    <definedName name="IQ_HOUSING_COMPLETION" hidden="1">"c20754"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RENTAL_VACANCY" hidden="1">"c20763"</definedName>
    <definedName name="IQ_HOUSING_START" hidden="1">"c20764"</definedName>
    <definedName name="IQ_HTM_SEC_INV_SEC_THRIFT" hidden="1">"c25669"</definedName>
    <definedName name="IQ_HTM_SEC_TIER_1_CAPITAL_THRIFT" hidden="1">"c25629"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HTM_AMORT_COST_FFIEC" hidden="1">"c20450"</definedName>
    <definedName name="IQ_HYBRID_STRUCTURED_PRODUCTS_HTM_FAIR_VAL_FFIEC" hidden="1">"c20485"</definedName>
    <definedName name="IQ_IMPAIR_CHARGES_DEBT_EQUITY_SEC_THRIFT" hidden="1">"c24777"</definedName>
    <definedName name="IQ_IMPORTS_USD" hidden="1">"c20765"</definedName>
    <definedName name="IQ_INC_EQUITY_CM" hidden="1">"c550"</definedName>
    <definedName name="IQ_INCIDENTAL_CHANGES_BUSINESS_COMBINATIONS_FDIC" hidden="1">"c6502"</definedName>
    <definedName name="IQ_INCOME_BEFORE_EXTRA_FDIC" hidden="1">"c6585"</definedName>
    <definedName name="IQ_INCOME_BEFORE_EXTRAORDINARY_ITEMS_AVG_ASSETS_THRIFT" hidden="1">"c25658"</definedName>
    <definedName name="IQ_INCOME_EARNED_FDIC" hidden="1">"c6359"</definedName>
    <definedName name="IQ_INCOME_STATEMENT_AP" hidden="1">"c25877"</definedName>
    <definedName name="IQ_INCOME_STATEMENT_AP_CO" hidden="1">"c25878"</definedName>
    <definedName name="IQ_INCOME_STATEMENT_INDUSTRY" hidden="1">"c25873"</definedName>
    <definedName name="IQ_INCOME_STATEMENT_INDUSTRY_CO" hidden="1">"c25874"</definedName>
    <definedName name="IQ_INCOME_STATEMENT_STANDARD" hidden="1">"c25875"</definedName>
    <definedName name="IQ_INCOME_STATEMENT_STANDARD_CO" hidden="1">"c25876"</definedName>
    <definedName name="IQ_INCOME_TAXES_FDIC" hidden="1">"c6582"</definedName>
    <definedName name="IQ_INCOME_TAXES_PRETAX_NET_OPERATING_INCOME_THRIFT" hidden="1">"c25693"</definedName>
    <definedName name="IQ_INCOME_TAXES_THRIFT" hidden="1">"c24795"</definedName>
    <definedName name="IQ_IND_PROD_INDEX_GROWTH" hidden="1">"c20766"</definedName>
    <definedName name="IQ_INDEX_PROVIDED_DIVIDEND" hidden="1">"c19252"</definedName>
    <definedName name="IQ_INDEX_SHARES" hidden="1">"c19193"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S_SETTLE_CM" hidden="1">"c572"</definedName>
    <definedName name="IQ_INSIDER_LOANS_FDIC" hidden="1">"c6365"</definedName>
    <definedName name="IQ_INSTITUTION_TYPE" hidden="1">"c24730"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SURED_GUARANTEED_AGENCY_US_SPONSORED_ENTERPRISE_THRIFT" hidden="1">"c24830"</definedName>
    <definedName name="IQ_INT_ADVANCES_FHLB_THRIFT" hidden="1">"c24759"</definedName>
    <definedName name="IQ_INT_COMM_LOANS_LEASES_THRIFT" hidden="1">"c24748"</definedName>
    <definedName name="IQ_INT_CONSUMER_LOANS_LEASES_THRIFT" hidden="1">"c24749"</definedName>
    <definedName name="IQ_INT_DEMAND_NOTES_FDIC" hidden="1">"c6567"</definedName>
    <definedName name="IQ_INT_DEPOSITS_INV_SEC_THRIFT" hidden="1">"c24745"</definedName>
    <definedName name="IQ_INT_DEPOSITS_THRIFT" hidden="1">"c24757"</definedName>
    <definedName name="IQ_INT_DOMESTIC_DEPOSITS_FDIC" hidden="1">"c6564"</definedName>
    <definedName name="IQ_INT_EARNING_DEPOSITS_FHLBS_THRIFT" hidden="1">"c24819"</definedName>
    <definedName name="IQ_INT_ESCROWS_THRIFT" hidden="1">"c24758"</definedName>
    <definedName name="IQ_INT_EXP_AVG_ASSETS_THRIFT" hidden="1">"c25648"</definedName>
    <definedName name="IQ_INT_EXP_AVG_EARNING_ASSETS_THRIFT" hidden="1">"c25667"</definedName>
    <definedName name="IQ_INT_EXP_CM" hidden="1">"c586"</definedName>
    <definedName name="IQ_INT_EXP_FULLY_INSURED_BROKERED_DEPOSITS_THRIFT" hidden="1">"c24982"</definedName>
    <definedName name="IQ_INT_EXP_OTHER_BROKERED_DEPOSITS_THRIFT" hidden="1">"c24983"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INCOME_AVG_ASSETS_THRIFT" hidden="1">"c25647"</definedName>
    <definedName name="IQ_INT_INCOME_AVG_EARNING_ASSETS_THRIFT" hidden="1">"c25666"</definedName>
    <definedName name="IQ_INT_MBS_THRIFT" hidden="1">"c24746"</definedName>
    <definedName name="IQ_INT_MORTGAGE_COLLATERALIZED_SEC_THRIFT" hidden="1">"c24761"</definedName>
    <definedName name="IQ_INT_MORTGAGE_LOANS_THRIFT" hidden="1">"c24747"</definedName>
    <definedName name="IQ_INT_ONLY_STRIP_RECEIVABLES_OTHER_INSTRUMENTS_THRIFT" hidden="1">"c24891"</definedName>
    <definedName name="IQ_INT_OTHER_BORROWINGS_THRIFT" hidden="1">"c24762"</definedName>
    <definedName name="IQ_INT_SUB_DEBT_THRIFT" hidden="1">"c24760"</definedName>
    <definedName name="IQ_INT_SUB_NOTES_FDIC" hidden="1">"c6568"</definedName>
    <definedName name="IQ_INT_YIELD_DEPOSITS_INV_SEC_THRIFT" hidden="1">"c25679"</definedName>
    <definedName name="IQ_INT_YIELD_MBS_THRIFT" hidden="1">"c25678"</definedName>
    <definedName name="IQ_INTANGIBLE_ASSETS_ADJUSTED_ASSETS_THRIFT" hidden="1">"c25036"</definedName>
    <definedName name="IQ_INTANGIBLE_ASSETS_T1_THRIFT" hidden="1">"c25027"</definedName>
    <definedName name="IQ_INTEREST_BEARING_BALANCES_FDIC" hidden="1">"c6371"</definedName>
    <definedName name="IQ_INTEREST_BEARING_DEPOSITS_ALL_OTHER_ACCOUNTS_THRIFT" hidden="1">"c25424"</definedName>
    <definedName name="IQ_INTEREST_BEARING_DEPOSITS_DOMESTIC_FDIC" hidden="1">"c6478"</definedName>
    <definedName name="IQ_INTEREST_BEARING_DEPOSITS_EMPLOYEE_BENEFIT_RETIREMENT_RELATED_ACCOUNTS_THRIFT" hidden="1">"c25408"</definedName>
    <definedName name="IQ_INTEREST_BEARING_DEPOSITS_FDIC" hidden="1">"c6373"</definedName>
    <definedName name="IQ_INTEREST_BEARING_DEPOSITS_FOREIGN_FDIC" hidden="1">"c6485"</definedName>
    <definedName name="IQ_INTEREST_BEARING_DEPOSITS_PERSONAL_TRUST_AGENCY_INV_MANAGEMENT_AGENCY_ACCOUNTS_THRIFT_THRIFT" hidden="1">"c25392"</definedName>
    <definedName name="IQ_INTEREST_CREDITED_DEPOSITS_THRIFT" hidden="1">"c25344"</definedName>
    <definedName name="IQ_INTEREST_RATE_CONTRACTS_FDIC" hidden="1">"c6512"</definedName>
    <definedName name="IQ_INTEREST_RATE_EXPOSURES_FDIC" hidden="1">"c6662"</definedName>
    <definedName name="IQ_INTRACO_INC_CREDITS_FIDUCIARY_RELATED_SERVICES_THRIFT" hidden="1">"c24814"</definedName>
    <definedName name="IQ_INV_IN_UNREGISTERED_FUNDS_PRIVATE_EQUITY_INV_ALL_OTHER_ACCOUNTS_THRIFT" hidden="1">"c25433"</definedName>
    <definedName name="IQ_INV_IN_UNREGISTERED_FUNDS_PRIVATE_EQUITY_INV_EMPLOYEE_BENEFIT_RETIREMENT_RELATED_ACCOUNTS_THRIFT" hidden="1">"c25417"</definedName>
    <definedName name="IQ_INV_IN_UNREGISTERED_FUNDS_PRIVATE_EQUITY_INV_PERSONAL_TRUST_AGENCY_INV_MANAGEMENT_ACCOUNTS_THRIFT" hidden="1">"c25401"</definedName>
    <definedName name="IQ_INV_MANAGEMENT_INV_ADVISORY_AGENCY_ACCOUNTS_GROSS_LOSSES_MANAGED_ACCOUNTS_THRIFT" hidden="1">"c25463"</definedName>
    <definedName name="IQ_INV_MANAGEMENT_INV_ADVISORY_AGENCY_ACCOUNTS_GROSS_LOSSES_NONMANAGED_ACCOUNTS_THRIFT" hidden="1">"c25468"</definedName>
    <definedName name="IQ_INV_MANAGEMENT_INV_ADVISORY_AGENCY_ACCOUNTS_MANAGED_ASSETS_THRIFT" hidden="1">"c25353"</definedName>
    <definedName name="IQ_INV_MANAGEMENT_INV_ADVISORY_AGENCY_ACCOUNTS_NONMANAGED_ASSETS_THRIFT" hidden="1">"c25374"</definedName>
    <definedName name="IQ_INV_MANAGEMENT_INV_ADVISORY_AGENCY_ACCOUNTS_NUMBER_MANAGED_ACCOUNTS_THRIFT" hidden="1">"c25364"</definedName>
    <definedName name="IQ_INV_MANAGEMENT_INV_ADVISORY_AGENCY_ACCOUNTS_NUMBER_NONMANAGED_ACCOUNTS_THRIFT" hidden="1">"c25386"</definedName>
    <definedName name="IQ_INV_MANAGEMENT_INV_ADVISORY_AGENCY_ACCOUNTS_RECOVERIES_THRIFT" hidden="1">"c25473"</definedName>
    <definedName name="IQ_INV_MGMT_ADVISORY_AGENCY_ACCOUNTS_INC_THRIFT" hidden="1">"c24806"</definedName>
    <definedName name="IQ_INV_NONCONTROLLING_INTERESTS_IN_SUBS_T1_THRIFT" hidden="1">"c25022"</definedName>
    <definedName name="IQ_INV_SEC_TOTAL_ASSETS_THRIFT" hidden="1">"c25697"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LOANS_CF_CM" hidden="1">"c630"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SECURITY_CF_CM" hidden="1">"c639"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OTHER_FEES_FDIC" hidden="1">"c6666"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RA_KEOGH_ACCOUNTS_FDIC" hidden="1">"c6496"</definedName>
    <definedName name="IQ_IRA_KEOGH_ACCOUNTS_GREATER_THAN_100000_INCLUDED_IN_TIME_DEPOSITS_THRIFT" hidden="1">"c25004"</definedName>
    <definedName name="IQ_IRA_KEOGH_ACCOUNTS_THRIFT" hidden="1">"c24994"</definedName>
    <definedName name="IQ_IRAS_HSAS_SIMILAR_ACCOUNTS_MANAGED_ASSETS_THRIFT" hidden="1">"c25351"</definedName>
    <definedName name="IQ_IRAS_HSAS_SIMILAR_ACCOUNTS_NONMANAGED_ASSETS_THRIFT" hidden="1">"c25372"</definedName>
    <definedName name="IQ_IRAS_HSAS_SIMILAR_ACCOUNTS_NUMBER_MANAGED_ACCOUNTS_THRIFT" hidden="1">"c25362"</definedName>
    <definedName name="IQ_IRAS_HSAS_SIMILAR_ACCOUNTS_NUMBER_NONMANAGED_ACCOUNTS_THRIFT" hidden="1">"c25384"</definedName>
    <definedName name="IQ_ISSUED_GUARANTEED_FNMA_FHLMC_GNMA_THRIFT" hidden="1">"c24833"</definedName>
    <definedName name="IQ_ISSUED_GUARANTEED_US_FDIC" hidden="1">"c6404"</definedName>
    <definedName name="IQ_ISSUES_IN_DEFAULT_PRINCIPAL_AMT_OUTSTANDING_THRIFT" hidden="1">"c25442"</definedName>
    <definedName name="IQ_KEY_PERSON_LIFE_INSURANCE_THRIFT" hidden="1">"c24885"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_LOANS_IN_PROCESS_FORECLOSURE_THRIFT" hidden="1">"c25309"</definedName>
    <definedName name="IQ_LAND_LOANS_TOTAL_LOANS_THRIFT" hidden="1">"c25747"</definedName>
    <definedName name="IQ_LAND_PML_ADJUSTED_NCOS_TOTAL_THRIFT" hidden="1">"c25208"</definedName>
    <definedName name="IQ_LAND_PML_GVA_CHARGE_OFFS_THRIFT" hidden="1">"c25123"</definedName>
    <definedName name="IQ_LAND_PML_GVA_RECOVERIES_THRIFT" hidden="1">"c25154"</definedName>
    <definedName name="IQ_LAND_PML_SVA_PROVISIONS_TRANSFERS_FROM_GVA_TOTAL_THRIFT" hidden="1">"c25177"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THRIFT" hidden="1">"c24857"</definedName>
    <definedName name="IQ_LEASEHOLD_IMPROVEMENT" hidden="1">"c17549"</definedName>
    <definedName name="IQ_LEGAL_EXP_THRIFT" hidden="1">"c24789"</definedName>
    <definedName name="IQ_LEGAL_SETTLE_CM" hidden="1">"c649"</definedName>
    <definedName name="IQ_LETTERS_CREDIT_THRIFT" hidden="1">"c25612"</definedName>
    <definedName name="IQ_LIFE_INSURANCE_ASSETS_FDIC" hidden="1">"c6372"</definedName>
    <definedName name="IQ_LIQUID_ASSETS_NON_LIQUID_ASSETS_THRIFT" hidden="1">"c25626"</definedName>
    <definedName name="IQ_LIQUID_ASSETS_TOTAL_ASSETS_THRIFT" hidden="1">"c25696"</definedName>
    <definedName name="IQ_LL_ALLOWANCE_GROSS_LOANS_THRIFT" hidden="1">"c25637"</definedName>
    <definedName name="IQ_LL_ALLOWANCE_NET_LOANS_LOSSES_THRIFT" hidden="1">"c25642"</definedName>
    <definedName name="IQ_LL_ALLOWANCE_NONACCRUAL_ASSETS_THRIFT" hidden="1">"c25638"</definedName>
    <definedName name="IQ_LME_INVENTORY" hidden="1">"c24740"</definedName>
    <definedName name="IQ_LOAN_COMMITMENTS_REVOLVING_FDIC" hidden="1">"c6524"</definedName>
    <definedName name="IQ_LOAN_LEASE_ALLOWANCE_PAST_DUE_NONACCRUAL_LOANS_THRIFT" hidden="1">"c25643"</definedName>
    <definedName name="IQ_LOAN_LOSS_ALLOW_FDIC" hidden="1">"c6326"</definedName>
    <definedName name="IQ_LOAN_LOSS_ALLOWANCE_GROSS_LOANS_THRIFT" hidden="1">"c25736"</definedName>
    <definedName name="IQ_LOAN_LOSS_ALLOWANCE_NONCURRENT_LOANS_FDIC" hidden="1">"c6740"</definedName>
    <definedName name="IQ_LOAN_LOSSES_FDIC" hidden="1">"c6580"</definedName>
    <definedName name="IQ_LOAN_RECOVERIES_AVG_LOANS_THRIFT" hidden="1">"c25644"</definedName>
    <definedName name="IQ_LOAN_SERVICING_FEES_THRIFT" hidden="1">"c24790"</definedName>
    <definedName name="IQ_LOANS_AND_LEASES_HELD_FDIC" hidden="1">"c6367"</definedName>
    <definedName name="IQ_LOANS_CF_CM" hidden="1">"c661"</definedName>
    <definedName name="IQ_LOANS_DEP_LL_REC_DOM_FFIEC" hidden="1">"c25855"</definedName>
    <definedName name="IQ_LOANS_DEP_LL_REC_FFIEC" hidden="1">"c25851"</definedName>
    <definedName name="IQ_LOANS_DEP_OTHER_LL_REC_DOM_FFIEC" hidden="1">"c25854"</definedName>
    <definedName name="IQ_LOANS_DEP_OTHER_LL_REC_FFIEC" hidden="1">"c25850"</definedName>
    <definedName name="IQ_LOANS_DEPOSITORY_INSTITUTIONS_FDIC" hidden="1">"c6382"</definedName>
    <definedName name="IQ_LOANS_HELD_FOREIGN_FDIC" hidden="1">"c6315"</definedName>
    <definedName name="IQ_LOANS_INDIVIDUALS_GROSS_LOANS_THRIFT" hidden="1">"c25733"</definedName>
    <definedName name="IQ_LOANS_INDIVIDUALS_RISK_BASED_CAPITAL_THRIFT" hidden="1">"c25718"</definedName>
    <definedName name="IQ_LOANS_LEASES_AMOUNTS_NETTED_THRIFT" hidden="1">"c25498"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S_DUE_30_89_THRIFT" hidden="1">"c25257"</definedName>
    <definedName name="IQ_LOANS_LEASES_HFS_DUE_90_THRIFT" hidden="1">"c25278"</definedName>
    <definedName name="IQ_LOANS_LEASES_HFS_NON_ACCRUAL_THRIFT" hidden="1">"c25299"</definedName>
    <definedName name="IQ_LOANS_LEASES_LEVEL_1_THRIFT" hidden="1">"c25494"</definedName>
    <definedName name="IQ_LOANS_LEASES_LEVEL_2_THRIFT" hidden="1">"c25495"</definedName>
    <definedName name="IQ_LOANS_LEASES_LEVEL_3_THRIFT" hidden="1">"c25496"</definedName>
    <definedName name="IQ_LOANS_LEASES_NET_FDIC" hidden="1">"c6327"</definedName>
    <definedName name="IQ_LOANS_LEASES_NET_UNEARNED_FDIC" hidden="1">"c6325"</definedName>
    <definedName name="IQ_LOANS_LEASES_REPORTED_WHOLLY_PARTIALLY_GUARANT_US_GOVT_AGENCY_SPONS_ENTITY_DUE_30_89_THRIFT" hidden="1">"c25258"</definedName>
    <definedName name="IQ_LOANS_LEASES_REPORTED_WHOLLY_PARTIALLY_GUARANT_US_GOVT_AGENCY_SPONS_ENTITY_DUE_90_THRIFT" hidden="1">"c25279"</definedName>
    <definedName name="IQ_LOANS_LEASES_REPORTED_WHOLLY_PARTIALLY_GUARANT_US_GOVT_AGENCY_SPONS_ENTITY_NON_ACCRUAL_THRIFT" hidden="1">"c25300"</definedName>
    <definedName name="IQ_LOANS_LEASES_TOTAL_AFTER_NETTING_THRIFT" hidden="1">"c25499"</definedName>
    <definedName name="IQ_LOANS_LEASES_TOTAL_BEFORE_NETTING_THRIFT" hidden="1">"c25497"</definedName>
    <definedName name="IQ_LOANS_NOT_SECURED_RE_FDIC" hidden="1">"c6381"</definedName>
    <definedName name="IQ_LOANS_PURCHASE_CARRY_LL_REC_DOM_FFIEC" hidden="1">"c25856"</definedName>
    <definedName name="IQ_LOANS_PURCHASE_CARRY_LL_REC_FFIEC" hidden="1">"c25852"</definedName>
    <definedName name="IQ_LOANS_SECURED_BY_RE_CHARGE_OFFS_FDIC" hidden="1">"c6588"</definedName>
    <definedName name="IQ_LOANS_SECURED_BY_RE_RECOVERIES_FDIC" hidden="1">"c6607"</definedName>
    <definedName name="IQ_LOANS_SECURED_FARM_100000_THROUGH_250000_THRIFT" hidden="1">"c24968"</definedName>
    <definedName name="IQ_LOANS_SECURED_FARM_250000_THROUGH_500000_THRIFT" hidden="1">"c24970"</definedName>
    <definedName name="IQ_LOANS_SECURED_FARM_LESS_THAN_EQUAL_100000_THRIFT" hidden="1">"c24966"</definedName>
    <definedName name="IQ_LOANS_SECURED_NON_US_FDIC" hidden="1">"c6380"</definedName>
    <definedName name="IQ_LOANS_SECURED_RE_NET_CHARGE_OFFS_FDIC" hidden="1">"c6626"</definedName>
    <definedName name="IQ_LOANS_SERVICED_OTHERS_THRIFT" hidden="1">"c24935"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OSS_RECOGNIZED_OCI_FFIEC" hidden="1">"c25847"</definedName>
    <definedName name="IQ_LT_DEBT_CM" hidden="1">"c676"</definedName>
    <definedName name="IQ_LT_DEBT_DERIVATIVES" hidden="1">"c17743"</definedName>
    <definedName name="IQ_LT_DEBT_ISSUED_CM" hidden="1">"c683"</definedName>
    <definedName name="IQ_LT_DEBT_REPAID_CM" hidden="1">"c691"</definedName>
    <definedName name="IQ_LT_INVEST_CM" hidden="1">"c698"</definedName>
    <definedName name="IQ_LTM" hidden="1">2000</definedName>
    <definedName name="IQ_LTMMONTH" hidden="1">120000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KETING_OTHER_PROF_SERVICES_THRIFT" hidden="1">"c24788"</definedName>
    <definedName name="IQ_MATURITY_ONE_YEAR_LESS_FDIC" hidden="1">"c6425"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PASS_THROUGH_FNMA_AFS_AMORT_COST_FFIEC" hidden="1">"c20494"</definedName>
    <definedName name="IQ_MBS_PASS_THROUGH_FNMA_AFS_FAIR_VAL_FFIEC" hidden="1">"c20459"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HTM_AMORT_COST_FFIEC" hidden="1">"c20441"</definedName>
    <definedName name="IQ_MBS_PASS_THROUGH_GNMA_HTM_FAIR_VAL_FFIEC" hidden="1">"c20476"</definedName>
    <definedName name="IQ_MBS_PASS_THROUGH_OTHER_AFS_AMORT_COST_FFIEC" hidden="1">"c20495"</definedName>
    <definedName name="IQ_MBS_PASS_THROUGH_OTHER_AFS_FAIR_VAL_FFIEC" hidden="1">"c20460"</definedName>
    <definedName name="IQ_MBS_PASS_THROUGH_OTHER_HTM_AMORT_COST_FFIEC" hidden="1">"c20443"</definedName>
    <definedName name="IQ_MBS_PASS_THROUGH_OTHER_HTM_FAIR_VAL_FFIEC" hidden="1">"c20478"</definedName>
    <definedName name="IQ_MEMO_LOANS_SOLD_WITH_RECOURSE_120_DAYS_LESS_THRIFT" hidden="1">"c25337"</definedName>
    <definedName name="IQ_MEMO_LOANS_SOLD_WITH_RECOURSE_GREATER_THAN_120_DAYS_THRIFT" hidden="1">"c25338"</definedName>
    <definedName name="IQ_MEMO_REFINANCING_LOANS_THRIFT" hidden="1">"c25336"</definedName>
    <definedName name="IQ_MERGER_CM" hidden="1">"c715"</definedName>
    <definedName name="IQ_MERGER_RESTRUCTURE_CM" hidden="1">"c721"</definedName>
    <definedName name="IQ_METRIC_NAME" hidden="1">"c18017"</definedName>
    <definedName name="IQ_MINIMUM_RENTAL" hidden="1">"c26970"</definedName>
    <definedName name="IQ_MINORITY_INT_AVG_ASSETS_THRIFT" hidden="1">"c25660"</definedName>
    <definedName name="IQ_MINORITY_INT_REDEEM" hidden="1">"c25787"</definedName>
    <definedName name="IQ_MINORITY_INT_REDEEM_TOT" hidden="1">"c25789"</definedName>
    <definedName name="IQ_MINORITY_INT_THRIFT" hidden="1">"c24926"</definedName>
    <definedName name="IQ_MINORITY_INTEREST_CM" hidden="1">"c729"</definedName>
    <definedName name="IQ_MISCELLANEOUS_ASSETS_ALL_OTHER_ACCOUNTS_THRIFT" hidden="1">"c25437"</definedName>
    <definedName name="IQ_MISCELLANEOUS_ASSETS_EMPLOYEE_BENEFIT_RETIREMENT_RELATED_ACCOUNTS_THRIFT" hidden="1">"c25421"</definedName>
    <definedName name="IQ_MISCELLANEOUS_ASSETS_PERSONAL_TRUST_AGENCY_INV_MANAGEMENT_ACCOUNTS_THRIFT" hidden="1">"c25405"</definedName>
    <definedName name="IQ_MMDA_SAVINGS_TOTAL_DEPOSITS_THRIFT" hidden="1">"c25778"</definedName>
    <definedName name="IQ_MOBILE_HOME_LOANS_THRIFT" hidden="1">"c24863"</definedName>
    <definedName name="IQ_MONEY_MARKET_DEPOSIT_ACCOUNTS_FDIC" hidden="1">"c6553"</definedName>
    <definedName name="IQ_MONEY_MARKET_DEPOSIT_ACCOUNTS_THRIFT" hidden="1">"c24999"</definedName>
    <definedName name="IQ_MONEY_SUPPLY_M1" hidden="1">"c20881"</definedName>
    <definedName name="IQ_MONEY_SUPPLY_M2" hidden="1">"c20882"</definedName>
    <definedName name="IQ_MONTH" hidden="1">15000</definedName>
    <definedName name="IQ_MORTGAGE_ASSET_BACKED_SEC_ELIGIBLE_20_PCT_RISK_WEIGHT_THRIFT" hidden="1">"c25057"</definedName>
    <definedName name="IQ_MORTGAGE_ASSET_BACKED_SEC_ELIGIBLE_50_PCT_RISK_WEIGHT_THRIFT" hidden="1">"c25066"</definedName>
    <definedName name="IQ_MORTGAGE_BACKED_SEC_ADJUSTED_NCOS_THRIFT" hidden="1">"c25198"</definedName>
    <definedName name="IQ_MORTGAGE_BACKED_SEC_GVA_CHARGE_OFFS_THRIFT" hidden="1">"c25113"</definedName>
    <definedName name="IQ_MORTGAGE_BACKED_SEC_GVA_RECOVERIES_THRIFT" hidden="1">"c25144"</definedName>
    <definedName name="IQ_MORTGAGE_BACKED_SEC_INV_SEC_THRIFT" hidden="1">"c25673"</definedName>
    <definedName name="IQ_MORTGAGE_BACKED_SEC_SVA_PROVISIONS_TRANSFERS_FROM_GVA_THRIFT" hidden="1">"c25167"</definedName>
    <definedName name="IQ_MORTGAGE_BACKED_SECURITIES_FDIC" hidden="1">"c6402"</definedName>
    <definedName name="IQ_MORTGAGE_LOAN_SERVICING_FEES_THRIFT" hidden="1">"c24766"</definedName>
    <definedName name="IQ_MORTGAGE_LOANS_ADJUSTED_NCOS_TOTAL_THRIFT" hidden="1">"c25199"</definedName>
    <definedName name="IQ_MORTGAGE_LOANS_CASH_REPAYMENT_PRINCIPAL_THRIFT" hidden="1">"c25334"</definedName>
    <definedName name="IQ_MORTGAGE_LOANS_DEBITS_LESS_CREDITS_OTHER_THAN_REPAYMENT_PRINCIPAL_THRIFT" hidden="1">"c25335"</definedName>
    <definedName name="IQ_MORTGAGE_LOANS_FORECLOSED_DURING_QUARTER_TOTAL_THRIFT" hidden="1">"c25236"</definedName>
    <definedName name="IQ_MORTGAGE_LOANS_GROSS_LOANS_THRIFT" hidden="1">"c25721"</definedName>
    <definedName name="IQ_MORTGAGE_LOANS_GVA_RECOVERIES_TOTAL_THRIFT" hidden="1">"c25145"</definedName>
    <definedName name="IQ_MORTGAGE_LOANS_PARTICIPATIONS_PURCHASED_FROM_ENTITIES_OTHER_THAN_FEDERALLY_INSURED_DEPOSITORY_INSTITUTIONS_THEIR_SUBSIDIARIES_THRIFT" hidden="1">"c25326"</definedName>
    <definedName name="IQ_MORTGAGE_LOANS_PARTICIPATIONS_PURCHASED_SECURED_1_4_DWELLING_UNITS_THRIFT" hidden="1">"c25325"</definedName>
    <definedName name="IQ_MORTGAGE_LOANS_PARTICIPATIONS_PURCHASED_SECURED_HOME_EQUITY_JUNIOR_LIENS_THRIFT" hidden="1">"c25327"</definedName>
    <definedName name="IQ_MORTGAGE_LOANS_PARTICIPATIONS_PURCHASED_SECURED_MULTIFAMILY_5_MORE_DWELLING_UNITS_THRIFT" hidden="1">"c25328"</definedName>
    <definedName name="IQ_MORTGAGE_LOANS_PARTICIPATIONS_PURCHASED_SECURED_NONRES_THRIFT" hidden="1">"c25329"</definedName>
    <definedName name="IQ_MORTGAGE_LOANS_PARTICIPATIONS_SOLD_SECURED_1_4_DWELLING_UNITS_THRIFT" hidden="1">"c25330"</definedName>
    <definedName name="IQ_MORTGAGE_LOANS_PARTICIPATIONS_SOLD_SECURED_HOME_EQUITY_JUNIOR_LIENS_THRIFT" hidden="1">"c25331"</definedName>
    <definedName name="IQ_MORTGAGE_LOANS_PARTICIPATIONS_SOLD_SECURED_MULTIFAMILY_5_MORE_DWELLING_UNITS_THRIFT" hidden="1">"c25332"</definedName>
    <definedName name="IQ_MORTGAGE_LOANS_PARTICIPATIONS_SOLD_SECURED_NONRES_THRIFT" hidden="1">"c25333"</definedName>
    <definedName name="IQ_MORTGAGE_LOANS_RISK_BASED_CAPITAL_THRIFT" hidden="1">"c25706"</definedName>
    <definedName name="IQ_MORTGAGE_LOANS_SECURED_NON_RES_PROPERTY_100000_THROUGH_250000_THRIFT" hidden="1">"c24954"</definedName>
    <definedName name="IQ_MORTGAGE_LOANS_SECURED_NON_RES_PROPERTY_250000_THROUGH_1000000_THRIFT" hidden="1">"c24956"</definedName>
    <definedName name="IQ_MORTGAGE_LOANS_SECURED_NON_RES_PROPERTY_LESS_THAN_EQUAL_100000_THRIFT" hidden="1">"c24952"</definedName>
    <definedName name="IQ_MORTGAGE_LOANS_SVA_PROVISIONS_TRANSFERS_FROM_GVA_TOTAL_THRIFT" hidden="1">"c25168"</definedName>
    <definedName name="IQ_MORTGAGE_LOANS_TOTAL_GVA_CHARGE_OFFS_THRIFT" hidden="1">"c25114"</definedName>
    <definedName name="IQ_MORTGAGE_LOANS_TOTAL_LOANS_THRIFT" hidden="1">"c25740"</definedName>
    <definedName name="IQ_MORTGAGE_SERVICING_FDIC" hidden="1">"c6335"</definedName>
    <definedName name="IQ_MORTGAGE_SERVICING_RIGHTS_AMOUNTS_NETTED_THRIFT" hidden="1">"c25504"</definedName>
    <definedName name="IQ_MORTGAGE_SERVICING_RIGHTS_LEVEL_1_THRIFT" hidden="1">"c25500"</definedName>
    <definedName name="IQ_MORTGAGE_SERVICING_RIGHTS_LEVEL_2_THRIFT" hidden="1">"c25501"</definedName>
    <definedName name="IQ_MORTGAGE_SERVICING_RIGHTS_LEVEL_3_THRIFT" hidden="1">"c25502"</definedName>
    <definedName name="IQ_MORTGAGE_SERVICING_RIGHTS_TOTAL_AFTER_NETTING_THRIFT" hidden="1">"c25505"</definedName>
    <definedName name="IQ_MORTGAGE_SERVICING_RIGHTS_TOTAL_BEFORE_NETTING_THRIFT" hidden="1">"c25503"</definedName>
    <definedName name="IQ_MTD" hidden="1">800000</definedName>
    <definedName name="IQ_MULTIFAMILY_5_MORE_DWELLING_UNITS_CONSTRUCTION_MORTGAGE_LOANS_ADJUSTED_NCOS_TOTAL_THRIFT" hidden="1">"c25201"</definedName>
    <definedName name="IQ_MULTIFAMILY_5_MORE_DWELLING_UNITS_CONSTRUCTION_MORTGAGE_LOANS_GVA_CHARGE_OFFS_THRIFT" hidden="1">"c25116"</definedName>
    <definedName name="IQ_MULTIFAMILY_5_MORE_DWELLING_UNITS_CONSTRUCTION_MORTGAGE_LOANS_GVA_RECOVERIES_THRIFT" hidden="1">"c25147"</definedName>
    <definedName name="IQ_MULTIFAMILY_5_MORE_DWELLING_UNITS_CONSTRUCTION_MORTGAGE_LOANS_SVA_PROVISIONS_TRANSFERS_FROM_GVA_TOTAL_THRIFT" hidden="1">"c25170"</definedName>
    <definedName name="IQ_MULTIFAMILY_5_MORE_DWELLING_UNITS_IN_PROCESS_FORECLOSURE_THRIFT" hidden="1">"c25307"</definedName>
    <definedName name="IQ_MULTIFAMILY_5_MORE_DWELLING_UNITS_PML_ADJUSTED_NCOS_TOTAL_THRIFT" hidden="1">"c25206"</definedName>
    <definedName name="IQ_MULTIFAMILY_5_MORE_DWELLING_UNITS_PML_GVA_CHARGE_OFFS_THRIFT" hidden="1">"c25121"</definedName>
    <definedName name="IQ_MULTIFAMILY_5_MORE_DWELLING_UNITS_PML_GVA_RECOVERIES_THRIFT" hidden="1">"c25152"</definedName>
    <definedName name="IQ_MULTIFAMILY_5_MORE_DWELLING_UNITS_PML_SVA_PROVISIONS_TRANSFERS_FROM_GVA_TOTAL_THRIFT" hidden="1">"c25175"</definedName>
    <definedName name="IQ_MULTIFAMILY_5_MORE_LOANS_TOTAL_LOANS_THRIFT" hidden="1">"c25745"</definedName>
    <definedName name="IQ_MULTIFAMILY_LOANS_GROSS_LOANS_THRIFT" hidden="1">"c25729"</definedName>
    <definedName name="IQ_MULTIFAMILY_LOANS_RISK_BASED_CAPITAL_THRIFT" hidden="1">"c25714"</definedName>
    <definedName name="IQ_MULTIFAMILY_RESIDENTIAL_LOANS_FDIC" hidden="1">"c6311"</definedName>
    <definedName name="IQ_MUNICIPAL_SEC_INV_SEC_THRIFT" hidden="1">"c25672"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MUTUAL_FUNDS_EQUITY_ALL_OTHER_ACCOUNTS_THRIFT" hidden="1">"c25428"</definedName>
    <definedName name="IQ_MUTUAL_FUNDS_EQUITY_EMPLOYEE_BENEFIT_RETIREMENT_RELATED_ACCOUNTS_THRIFT" hidden="1">"c25412"</definedName>
    <definedName name="IQ_MUTUAL_FUNDS_EQUITY_PERSONAL_TRUST_AGENCY_INV_MANAGEMENT_ACCOUNTS_THRIFT" hidden="1">"c25396"</definedName>
    <definedName name="IQ_MUTUAL_FUNDS_MONEY_MARKET_ALL_OTHER_ACCOUNTS_THRIFT" hidden="1">"c25427"</definedName>
    <definedName name="IQ_MUTUAL_FUNDS_MONEY_MARKET_EMPLOYEE_BENEFIT_RETIREMENT_RELATED_ACCOUNTS_THRIFT" hidden="1">"c25411"</definedName>
    <definedName name="IQ_MUTUAL_FUNDS_MONEY_MARKET_PERSONAL_TRUST_AGENCY_INV_MANAGEMENT_ACCOUNTS_THRIFT" hidden="1">"c25395"</definedName>
    <definedName name="IQ_MUTUAL_FUNDS_OTHER_ALL_OTHER_ACCOUNTS_THRIFT" hidden="1">"c25429"</definedName>
    <definedName name="IQ_MUTUAL_FUNDS_OTHER_EMPLOYEE_BENEFIT_RETIREMENT_RELATED_ACCOUNTS_THRIFT" hidden="1">"c25413"</definedName>
    <definedName name="IQ_MUTUAL_FUNDS_OTHER_PERSONAL_TRUST_AGENCY_INV_MANAGEMENT_ACCOUNTS_THRIFT" hidden="1">"c25397"</definedName>
    <definedName name="IQ_NAMES_REVISION_DATE_" hidden="1">40218.8268634259</definedName>
    <definedName name="IQ_NATURAL_RESOURCES_COST" hidden="1">"c17550"</definedName>
    <definedName name="IQ_NAV_SHARE_EST_NOTE" hidden="1">"c17522"</definedName>
    <definedName name="IQ_NAV_SHARE_EST_NOTE_CIQ" hidden="1">"c17475"</definedName>
    <definedName name="IQ_NCLS_CLOSED_END_1_4_FAMILY_LOANS_TOTAL_LOANS_THRIFT" hidden="1">"c25769"</definedName>
    <definedName name="IQ_NCLS_COMM_LOANS_TOTAL_LOANS_THRIFT" hidden="1">"c25775"</definedName>
    <definedName name="IQ_NCLS_COMM_RE_FARM_LOANS_TOTAL_LOANS_THRIFT" hidden="1">"c25771"</definedName>
    <definedName name="IQ_NCLS_COMM_RE_NONFARM_NONRESIDENTIAL_TOTAL_LOANS_THRIFT" hidden="1">"c25773"</definedName>
    <definedName name="IQ_NCLS_CONSTRUCTION_LAND_DEVELOPMENT_LOANS_TOTAL_LOANS_THRIFT" hidden="1">"c25767"</definedName>
    <definedName name="IQ_NCLS_CONSUMER_LOANS_TOTAL_LOANS_THRIFT" hidden="1">"c25776"</definedName>
    <definedName name="IQ_NCLS_LAND_LOANS_TOTAL_LOANS_THRIFT" hidden="1">"c25772"</definedName>
    <definedName name="IQ_NCLS_MULTIFAMILY_5_MORE_LOANS_TOTAL_LOANS_THRIFT" hidden="1">"c25770"</definedName>
    <definedName name="IQ_NCLS_TOTAL_1_4_FAMILY_LOANS_TOTAL_LOANS_THRIFT" hidden="1">"c25768"</definedName>
    <definedName name="IQ_NCLS_TOTAL_LOANS_TOTAL_LOANS_THRIFT" hidden="1">"c25765"</definedName>
    <definedName name="IQ_NCLS_TOTAL_MORTGAGE_LOANS_TOTAL_LOANS_THRIFT" hidden="1">"c25766"</definedName>
    <definedName name="IQ_NCLS_TOTAL_NON_RE_LOANS_TOTAL_LOANS_THRIFT" hidden="1">"c25774"</definedName>
    <definedName name="IQ_NCOS_CLOSED_END_1_4_FAMILY_LOANS_TOTAL_LOANS_THRIFT" hidden="1">"c25757"</definedName>
    <definedName name="IQ_NCOS_COMM_LOANS_TOTAL_LOANS_THRIFT" hidden="1">"c25763"</definedName>
    <definedName name="IQ_NCOS_COMM_RE_FARM_LOANS_TOTAL_LOANS_THRIFT" hidden="1">"c25759"</definedName>
    <definedName name="IQ_NCOS_COMM_RE_NONFARM_NONRESIDENTIAL_TOTAL_LOANS_THRIFT" hidden="1">"c25761"</definedName>
    <definedName name="IQ_NCOS_CONSTRUCTION_LAND_DEVELOPMENT_LOANS_TOTAL_LOANS_THRIFT" hidden="1">"c25755"</definedName>
    <definedName name="IQ_NCOS_CONSUMER_LOANS_TOTAL_LOANS_THRIFT" hidden="1">"c25764"</definedName>
    <definedName name="IQ_NCOS_LAND_LOANS_TOTAL_LOANS_THRIFT" hidden="1">"c25760"</definedName>
    <definedName name="IQ_NCOS_MULTIFAMILY_5_MORE_LOANS_TOTAL_LOANS_THRIFT" hidden="1">"c25758"</definedName>
    <definedName name="IQ_NCOS_TOTAL_1_4_FAMILY_LOANS_TOTAL_LOANS_THRIFT" hidden="1">"c25756"</definedName>
    <definedName name="IQ_NCOS_TOTAL_LOANS_TOTAL_LOANS_THRIFT" hidden="1">"c25753"</definedName>
    <definedName name="IQ_NCOS_TOTAL_MORTGAGE_LOANS_TOTAL_LOANS_THRIFT" hidden="1">"c25754"</definedName>
    <definedName name="IQ_NCOS_TOTAL_NON_RE_LOANS_TOTAL_LOANS_THRIFT" hidden="1">"c25762"</definedName>
    <definedName name="IQ_NET_CHARGE_OFFS_FDIC" hidden="1">"c6641"</definedName>
    <definedName name="IQ_NET_CHARGE_OFFS_LOANS_FDIC" hidden="1">"c6751"</definedName>
    <definedName name="IQ_NET_DEBT_ISSUED_CM" hidden="1">"c753"</definedName>
    <definedName name="IQ_NET_FED_FUNDS_PURCHASED_TOTAL_ASSETS_THRIFT" hidden="1">"c25704"</definedName>
    <definedName name="IQ_NET_FIDUCIARY_RELATED_SERVICES_INC_THRIFT" hidden="1">"c24815"</definedName>
    <definedName name="IQ_NET_GAIN_SALE_AFS_SEC_THRIFT" hidden="1">"c24770"</definedName>
    <definedName name="IQ_NET_GAIN_SALE_LOANS_HELD_INV_THRIFT" hidden="1">"c24774"</definedName>
    <definedName name="IQ_NET_GAIN_SALE_LOANS_LEASES_HFS_THRIFT" hidden="1">"c24771"</definedName>
    <definedName name="IQ_NET_GAIN_SALE_OTHER_ASSETS_HELD_INV_THRIFT" hidden="1">"c24775"</definedName>
    <definedName name="IQ_NET_GAIN_SALE_OTHER_ASSETS_HFS_THRIFT" hidden="1">"c24772"</definedName>
    <definedName name="IQ_NET_GAIN_SALE_SEC_HTM_THRIFT" hidden="1">"c24773"</definedName>
    <definedName name="IQ_NET_GAINS_FIN_ASSETS_LIABILITIES_FV_THRIFT" hidden="1">"c24776"</definedName>
    <definedName name="IQ_NET_IMPAIR_LOSS_FFIEC" hidden="1">"c25848"</definedName>
    <definedName name="IQ_NET_INCOME_AVG_ASSETS_THRIFT" hidden="1">"c25661"</definedName>
    <definedName name="IQ_NET_INCOME_FDIC" hidden="1">"c6587"</definedName>
    <definedName name="IQ_NET_INCOME_LOCOM_ADJUST_THRIFT" hidden="1">"c24779"</definedName>
    <definedName name="IQ_NET_INCOME_LOSS_ATTRIBUTABLE_SAVINGS_ASSOCIATION_THRIFT" hidden="1">"c25009"</definedName>
    <definedName name="IQ_NET_INCOME_REPOSSESS_ASSETS_THRIFT" hidden="1">"c24778"</definedName>
    <definedName name="IQ_NET_INCOME_SALE_ASSETS_HFS_AFS_SEC_THRIFT" hidden="1">"c24769"</definedName>
    <definedName name="IQ_NET_INT_INC_BNK_FDIC" hidden="1">"c6570"</definedName>
    <definedName name="IQ_NET_INT_INC_CM" hidden="1">"c765"</definedName>
    <definedName name="IQ_NET_INT_INCOME_AFTER_PROVISION_THRIFT" hidden="1">"c25871"</definedName>
    <definedName name="IQ_NET_INT_INCOME_AVG_ASSETS_THRIFT" hidden="1">"c25649"</definedName>
    <definedName name="IQ_NET_INT_INCOME_AVG_EARNING_ASSETS_THRIFT" hidden="1">"c25668"</definedName>
    <definedName name="IQ_NET_INT_INCOME_THRIFT" hidden="1">"c24765"</definedName>
    <definedName name="IQ_NET_INTEREST_MARGIN_FDIC" hidden="1">"c6726"</definedName>
    <definedName name="IQ_NET_LOAN_LOSSES_AVG_LOANS_THRIFT" hidden="1">"c25635"</definedName>
    <definedName name="IQ_NET_LOANS_CORE_DEPOSITS_THRIFT" hidden="1">"c25628"</definedName>
    <definedName name="IQ_NET_LOANS_EQUITY_THRIFT" hidden="1">"c25632"</definedName>
    <definedName name="IQ_NET_LOANS_LEASES_CORE_DEPOSITS_FDIC" hidden="1">"c6743"</definedName>
    <definedName name="IQ_NET_LOANS_LEASES_DEPOSITS_FDIC" hidden="1">"c6742"</definedName>
    <definedName name="IQ_NET_LOANS_LEASES_LETTERS_CREDIT_TOTAL_ASSETS_THRIFT" hidden="1">"c25698"</definedName>
    <definedName name="IQ_NET_LOANS_LEASES_TOTAL_ASSETS_THRIFT" hidden="1">"c25694"</definedName>
    <definedName name="IQ_NET_LOANS_TOTAL_DEPOSITS_THRIFT" hidden="1">"c25627"</definedName>
    <definedName name="IQ_NET_LOSSES_FIDUCIARY_RELATED_SERVICES_THRIFT" hidden="1">"c24813"</definedName>
    <definedName name="IQ_NET_NEW_CLIENT_ASSETS" hidden="1">"c20430"</definedName>
    <definedName name="IQ_NET_NONCORE_FUNDING_DEPENDENCE_SHORT_TERM_THRIFT" hidden="1">"c25624"</definedName>
    <definedName name="IQ_NET_NONCORE_FUNDING_DEPENDENCE_THRIFT" hidden="1">"c25623"</definedName>
    <definedName name="IQ_NET_OCCUPANCY_EXP_ADJUSTED_OPERATING_INCOME_THRIFT" hidden="1">"c25686"</definedName>
    <definedName name="IQ_NET_OPERATING_INCOME_ASSETS_FDIC" hidden="1">"c6729"</definedName>
    <definedName name="IQ_NET_PC_WRITTEN" hidden="1">"c1027"</definedName>
    <definedName name="IQ_NET_PROVISION_LOSS_GVA_THRIFT" hidden="1">"c25092"</definedName>
    <definedName name="IQ_NET_PROVISION_LOSS_SVA_THRIFT" hidden="1">"c25100"</definedName>
    <definedName name="IQ_NET_PROVISION_LOSS_TVA_THRIFT" hidden="1">"c25107"</definedName>
    <definedName name="IQ_NET_SECURITIZATION_INCOME_FDIC" hidden="1">"c6669"</definedName>
    <definedName name="IQ_NET_SERVICING_FEES_ADJUSTED_OPERATING_INCOME_THRIFT" hidden="1">"c25690"</definedName>
    <definedName name="IQ_NET_SERVICING_FEES_FDIC" hidden="1">"c6668"</definedName>
    <definedName name="IQ_NEW_BASIS_ACCOUNTING_ADJUSTMENTS_SAVINGS_ASSOCIATION_THRIFT" hidden="1">"c25015"</definedName>
    <definedName name="IQ_NEW_DEPOSITS_RECEIVED_LESS_DEPOSITS_WITHDRAWN_THRIFT" hidden="1">"c25343"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XDIV_DATE" hidden="1">"c17411"</definedName>
    <definedName name="IQ_NI_BANK_NONCONTROLLING_INT_THRIFT" hidden="1">"c24798"</definedName>
    <definedName name="IQ_NI_COMPANY" hidden="1">"c25786"</definedName>
    <definedName name="IQ_NI_NONCONTROLLING_INT_THRIFT" hidden="1">"c24799"</definedName>
    <definedName name="IQ_NI_THRIFT" hidden="1">"c24800"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INT_BEARING_DEMAND_DEPOSITS_THRIFT" hidden="1">"c25007"</definedName>
    <definedName name="IQ_NON_INT_EXP_AFTER_PROVISION_THRIFT" hidden="1">"c25872"</definedName>
    <definedName name="IQ_NON_INT_EXP_AVG_ASSETS_THRIFT" hidden="1">"c25784"</definedName>
    <definedName name="IQ_NON_INT_EXP_FDIC" hidden="1">"c6579"</definedName>
    <definedName name="IQ_NON_INT_EXP_THRIFT" hidden="1">"c24793"</definedName>
    <definedName name="IQ_NON_INT_INC_FDIC" hidden="1">"c6575"</definedName>
    <definedName name="IQ_NON_INT_INCOME_ADJUSTED_OPERATING_INCOME_THRIFT" hidden="1">"c25688"</definedName>
    <definedName name="IQ_NON_INT_INCOME_AVG_ASSETS_THRIFT" hidden="1">"c25650"</definedName>
    <definedName name="IQ_NON_INT_INCOME_THRIFT" hidden="1">"c24781"</definedName>
    <definedName name="IQ_NON_INTEREST_BEARING_DEPOSITS_ALL_OTHER_ACCOUNTS_THRIFT" hidden="1">"c25423"</definedName>
    <definedName name="IQ_NON_INTEREST_BEARING_DEPOSITS_EMPLOYEE_BENEFIT_RETIREMENT_RELATED_ACCOUNTS_THRIFT" hidden="1">"c25407"</definedName>
    <definedName name="IQ_NON_INTEREST_BEARING_DEPOSITS_PERSONAL_TRUST_AGENCY_INV_MANAGEMENT_ACCOUNTS_THRIFT" hidden="1">"c25391"</definedName>
    <definedName name="IQ_NON_MORTGAGE_AGRICULTURE_FARMERS_COMM_LOANS_100000_THROUGH_250000_THRIFT" hidden="1">"c24974"</definedName>
    <definedName name="IQ_NON_MORTGAGE_AGRICULTURE_FARMERS_COMM_LOANS_250000_THROUGH_500000_THRIFT" hidden="1">"c24976"</definedName>
    <definedName name="IQ_NON_MORTGAGE_AGRICULTURE_FARMERS_COMM_LOANS_LESS_THAN_EQUAL_100000_THRIFT" hidden="1">"c24972"</definedName>
    <definedName name="IQ_NON_MORTGAGE_LOANS_ADJUSTED_NCOS_TOTAL_TOTAL_THRIFT" hidden="1">"c25209"</definedName>
    <definedName name="IQ_NON_MORTGAGE_LOANS_GVA_CHARGE_OFFS_TOTAL_THRIFT" hidden="1">"c25124"</definedName>
    <definedName name="IQ_NON_MORTGAGE_LOANS_GVA_RECOVERIES_TOTAL_THRIFT" hidden="1">"c25155"</definedName>
    <definedName name="IQ_NON_MORTGAGE_LOANS_SVA_PROVISIONS_TRANSFERS_FROM_GVA_TOTAL_TOTAL_THRIFT" hidden="1">"c25178"</definedName>
    <definedName name="IQ_NON_MORTGAGE_NON_AGRICULTURE_COMM_LOANS_100000_THROUGH_250000_THRIFT" hidden="1">"c24961"</definedName>
    <definedName name="IQ_NON_MORTGAGE_NON_AGRICULTURE_COMM_LOANS_250000_THROUGH_1000000_THRIFT" hidden="1">"c24963"</definedName>
    <definedName name="IQ_NON_MORTGAGE_NON_AGRICULTURE_COMM_LOANS_LESS_THAN_EQUAL_100000_THRIFT" hidden="1">"c24959"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ORE_FUNDING_TOTAL_ASSETS_THRIFT" hidden="1">"c25700"</definedName>
    <definedName name="IQ_NONCUMULATIVE_PREF_THRIFT" hidden="1">"c24916"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LOANS_GROSS_LOANS_THRIFT" hidden="1">"c25730"</definedName>
    <definedName name="IQ_NONFARM_NONRES_LOANS_RISK_BASED_CAPITAL_THRIFT" hidden="1">"c25715"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PROPERTY_CONSTRUCTION_MORTGAGE_LOANS_GVA_CHARGE_OFFS_THRIFT" hidden="1">"c25117"</definedName>
    <definedName name="IQ_NONRES_PROPERTY_CONSTRUCTION_MORTGAGE_LOANS_GVA_RECOVERIES_THRIFT" hidden="1">"c25148"</definedName>
    <definedName name="IQ_NONRES_PROPERTY_DWELLING_UNITS_CONSTRUCTION_MORTGAGE_LOANS_ADJUSTED_NCOS_TOTAL_THRIFT" hidden="1">"c25202"</definedName>
    <definedName name="IQ_NONRES_PROPERTY_DWELLING_UNITS_CONSTRUCTION_MORTGAGE_LOANS_SVA_PROVISIONS_TRANSFERS_FROM_GVA_TOTAL_THRIFT" hidden="1">"c25171"</definedName>
    <definedName name="IQ_NONRES_PROPERTY_EXCEPT_LAND_IN_PROCESS_FORECLOSURE_THRIFT" hidden="1">"c25308"</definedName>
    <definedName name="IQ_NONRES_PROPERTY_EXCEPT_LAND_PML_ADJUSTED_NCOS_TOTAL_THRIFT" hidden="1">"c25207"</definedName>
    <definedName name="IQ_NONRES_PROPERTY_EXCEPT_LAND_PML_GVA_CHARGE_OFFS_THRIFT" hidden="1">"c25122"</definedName>
    <definedName name="IQ_NONRES_PROPERTY_EXCEPT_LAND_PML_GVA_RECOVERIES_THRIFT" hidden="1">"c25153"</definedName>
    <definedName name="IQ_NONRES_PROPERTY_EXCEPT_LAND_PML_SVA_PROVISIONS_TRANSFERS_FROM_GVA_TOTAL_THRIFT" hidden="1">"c25176"</definedName>
    <definedName name="IQ_NONTRANSACTION_ACCOUNTS_FDIC" hidden="1">"c6552"</definedName>
    <definedName name="IQ_NOTES_OBLIGATIONS_FDIC_INC_COVERED_ASSETS_ELIGIBLE_0_PCT_RISK_WEIGHT_THRIFT" hidden="1">"c25053"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_ACCOUNTS_EXCLUDING_RETIREMENT_ACCOUNTS_GREATER_THAN_250000_THRIFT" hidden="1">"c24989"</definedName>
    <definedName name="IQ_NUMBER_DEPOSIT_ACCOUNTS_EXCLUDING_RETIREMENT_ACCOUNTS_LESS_THAN_250000_THRIFT" hidden="1">"c24988"</definedName>
    <definedName name="IQ_NUMBER_DEPOSIT_ACCOUNTS_THRIFT" hidden="1">"c24987"</definedName>
    <definedName name="IQ_NUMBER_DEPOSITS_LESS_THAN_100K_FDIC" hidden="1">"c6495"</definedName>
    <definedName name="IQ_NUMBER_DEPOSITS_MORE_THAN_100K_FDIC" hidden="1">"c6493"</definedName>
    <definedName name="IQ_NUMBER_FIDUCIARY_MANAGED_ACCOUNTS_THRIFT" hidden="1">"c25439"</definedName>
    <definedName name="IQ_NUMBER_FTE_EMPLOYEES_THRIFT" hidden="1">"c24929"</definedName>
    <definedName name="IQ_NUMBER_ISSUES_IN_DEFAULT_THRIFT" hidden="1">"c25443"</definedName>
    <definedName name="IQ_NUMBER_LOANS_SECURED_FARM_100000_THROUGH_250000_THRIFT" hidden="1">"c24969"</definedName>
    <definedName name="IQ_NUMBER_LOANS_SECURED_FARM_250000_THROUGH_500000_THRIFT" hidden="1">"c24971"</definedName>
    <definedName name="IQ_NUMBER_LOANS_SECURED_FARM_LESS_THAN_EQUAL_100000_THRIFT" hidden="1">"c24967"</definedName>
    <definedName name="IQ_NUMBER_MORTGAGE_LOANS_SECURED_NON_RES_PROPERTY_100000_THROUGH_250000_THRIFT" hidden="1">"c24955"</definedName>
    <definedName name="IQ_NUMBER_MORTGAGE_LOANS_SECURED_NON_RES_PROPERTY_250000_THROUGH_1000000_THRIFT" hidden="1">"c24957"</definedName>
    <definedName name="IQ_NUMBER_MORTGAGE_LOANS_SECURED_NON_RES_PROPERTY_LESS_THAN_EQUAL_100000_THRIFT" hidden="1">"c24953"</definedName>
    <definedName name="IQ_NUMBER_MORTGAGE_LOANS_SECURED_NON_RES_PROPERTY_THRIFT" hidden="1">"c24958"</definedName>
    <definedName name="IQ_NUMBER_NON_MORTGAGE_AGRICULTURE_FARMERS_COMM_LOANS_100000_THROUGH_250000_THRIFT" hidden="1">"c24975"</definedName>
    <definedName name="IQ_NUMBER_NON_MORTGAGE_AGRICULTURE_FARMERS_COMM_LOANS_250000_THROUGH_500000_THRIFT" hidden="1">"c24977"</definedName>
    <definedName name="IQ_NUMBER_NON_MORTGAGE_AGRICULTURE_FARMERS_COMM_LOANS_LESS_THAN_EQUAL_100000_THRIFT" hidden="1">"c24973"</definedName>
    <definedName name="IQ_NUMBER_NON_MORTGAGE_LOANS_EXCEPT_CREDIT_CARD_LOANS_THRIFT" hidden="1">"c24965"</definedName>
    <definedName name="IQ_NUMBER_NON_MORTGAGE_NON_AGRICULTURE_COMM_LOANS_100000_THROUGH_250000_THRIFT" hidden="1">"c24962"</definedName>
    <definedName name="IQ_NUMBER_NON_MORTGAGE_NON_AGRICULTURE_COMM_LOANS_250000_THROUGH_1000000_THRIFT" hidden="1">"c24964"</definedName>
    <definedName name="IQ_NUMBER_NON_MORTGAGE_NON_AGRICULTURE_COMM_LOANS_LESS_THAN_EQUAL_100000_THRIFT" hidden="1">"c24960"</definedName>
    <definedName name="IQ_NUMBER_NONINTEREST_BEARING_TRANSACTION_ACCOUNTS_MORE_THAN_250000_THRIFT" hidden="1">"c25583"</definedName>
    <definedName name="IQ_NUMBER_RETIREMENT_DEPOSIT_ACCOUNTS_GREATER_THAN_250000_THRIFT" hidden="1">"c24993"</definedName>
    <definedName name="IQ_NUMBER_RETIREMENT_DEPOSIT_ACCOUNTS_LESS_THAN_250000_THRIFT" hidden="1">"c24992"</definedName>
    <definedName name="IQ_NUMBER_TRADES_EXECUTED" hidden="1">"c20428"</definedName>
    <definedName name="IQ_OBLIGATIONS_OF_STATES_TOTAL_LOANS_FOREIGN_FDIC" hidden="1">"c6447"</definedName>
    <definedName name="IQ_OBLIGATIONS_STATES_FDIC" hidden="1">"c6431"</definedName>
    <definedName name="IQ_OCCUPANCY_EXP_AVG_ASSETS_THRIFT" hidden="1">"c25663"</definedName>
    <definedName name="IQ_OECD_LEAD_INDICATOR" hidden="1">"c20953"</definedName>
    <definedName name="IQ_OFFICE_OCCUPANCY_EQUIP_EXP_THRIFT" hidden="1">"c24787"</definedName>
    <definedName name="IQ_OFFICE_PREMISES_EQUIPMENT_THRIFT" hidden="1">"c24882"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PEN_END_LINES_CREDIT_THRIFT" hidden="1">"c25608"</definedName>
    <definedName name="IQ_OPER_INC_CM" hidden="1">"c850"</definedName>
    <definedName name="IQ_OPT_TOTAL_AGG_INT_VALUE_EXER" hidden="1">"c18441"</definedName>
    <definedName name="IQ_OPT_TOTAL_AGG_INT_VALUE_OUT" hidden="1">"c18437"</definedName>
    <definedName name="IQ_OPT_TOTAL_NUM_EXER" hidden="1">"c18439"</definedName>
    <definedName name="IQ_OPT_TOTAL_NUM_OUT" hidden="1">"c18435"</definedName>
    <definedName name="IQ_OPT_TOTAL_PLAN_NAME" hidden="1">"c18467"</definedName>
    <definedName name="IQ_OPT_TOTAL_PRICE_HIGH" hidden="1">"c18432"</definedName>
    <definedName name="IQ_OPT_TOTAL_PRICE_LOW" hidden="1">"c18431"</definedName>
    <definedName name="IQ_OPT_TOTAL_PRICE_RANGE" hidden="1">"c18433"</definedName>
    <definedName name="IQ_OPT_TOTAL_WTD_LIFE_EXER" hidden="1">"c18440"</definedName>
    <definedName name="IQ_OPT_TOTAL_WTD_LIFE_OUT" hidden="1">"c18436"</definedName>
    <definedName name="IQ_OPT_TOTAL_WTD_PRICE_EXER" hidden="1">"c18438"</definedName>
    <definedName name="IQ_OPT_TOTAL_WTD_PRICE_OUT" hidden="1">"c18434"</definedName>
    <definedName name="IQ_OPT_TRANCHE_AGG_INT_VALUE_EXER" hidden="1">"c18430"</definedName>
    <definedName name="IQ_OPT_TRANCHE_AGG_INT_VALUE_OUT" hidden="1">"c18426"</definedName>
    <definedName name="IQ_OPT_TRANCHE_CLASS_NAME" hidden="1">"c18419"</definedName>
    <definedName name="IQ_OPT_TRANCHE_NUM_EXER" hidden="1">"c18428"</definedName>
    <definedName name="IQ_OPT_TRANCHE_NUM_OUT" hidden="1">"c18424"</definedName>
    <definedName name="IQ_OPT_TRANCHE_PLAN_NAME" hidden="1">"c18418"</definedName>
    <definedName name="IQ_OPT_TRANCHE_PLAN_RANK" hidden="1">"c18466"</definedName>
    <definedName name="IQ_OPT_TRANCHE_PRICE_HIGH" hidden="1">"c18421"</definedName>
    <definedName name="IQ_OPT_TRANCHE_PRICE_LOW" hidden="1">"c18420"</definedName>
    <definedName name="IQ_OPT_TRANCHE_PRICE_RANGE" hidden="1">"c18422"</definedName>
    <definedName name="IQ_OPT_TRANCHE_WTD_LIFE_EXER" hidden="1">"c18429"</definedName>
    <definedName name="IQ_OPT_TRANCHE_WTD_LIFE_OUT" hidden="1">"c18425"</definedName>
    <definedName name="IQ_OPT_TRANCHE_WTD_PRICE_EXER" hidden="1">"c18427"</definedName>
    <definedName name="IQ_OPT_TRANCHE_WTD_PRICE_OUT" hidden="1">"c18423"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RGANIC_GROWTH_RATE" hidden="1">"c20429"</definedName>
    <definedName name="IQ_OTHER_ACCRUED_INT_PAYABLE_THRIFT" hidden="1">"c24908"</definedName>
    <definedName name="IQ_OTHER_ADDITIONS_ADJUSTED_ASSETS_THRIFT" hidden="1">"c25037"</definedName>
    <definedName name="IQ_OTHER_ADDITIONS_T1_THRIFT" hidden="1">"c25028"</definedName>
    <definedName name="IQ_OTHER_ADDITIONS_T2_THRIFT" hidden="1">"c25044"</definedName>
    <definedName name="IQ_OTHER_ADJUSTMENTS_SAVINGS_ASSOCIATION_THRIFT" hidden="1">"c25018"</definedName>
    <definedName name="IQ_OTHER_AMORT_CM" hidden="1">"c5566"</definedName>
    <definedName name="IQ_OTHER_AOCI_THRIFT" hidden="1">"c24923"</definedName>
    <definedName name="IQ_OTHER_ASSETS_ADJUSTED_NCOS_TOTAL_THRIFT" hidden="1">"c25227"</definedName>
    <definedName name="IQ_OTHER_ASSETS_CM" hidden="1">"c862"</definedName>
    <definedName name="IQ_OTHER_ASSETS_FDIC" hidden="1">"c6338"</definedName>
    <definedName name="IQ_OTHER_ASSETS_GVA_CHARGE_OFFS_THRIFT" hidden="1">"c25142"</definedName>
    <definedName name="IQ_OTHER_ASSETS_GVA_RECOVERIES_THRIFT" hidden="1">"c25165"</definedName>
    <definedName name="IQ_OTHER_ASSETS_GVA_THRIFT" hidden="1">"c24893"</definedName>
    <definedName name="IQ_OTHER_ASSETS_SVA_PROVISIONS_TRANSFERS_FROM_GVA_TOTAL_THRIFT" hidden="1">"c25196"</definedName>
    <definedName name="IQ_OTHER_ASSETS_THRIFT" hidden="1">"c24892"</definedName>
    <definedName name="IQ_OTHER_BALANCE_CHANGES_OTHER_MORTGAGE_BACKED_SEC_THRIFT" hidden="1">"c25316"</definedName>
    <definedName name="IQ_OTHER_BALANCE_CHANGES_PASS_THROUGH_MORTGAGE_BACKED_SEC_THRIFT" hidden="1">"c25313"</definedName>
    <definedName name="IQ_OTHER_BANK_OWNED_LIFE_INSURANCE_THRIFT" hidden="1">"c24886"</definedName>
    <definedName name="IQ_OTHER_BORROWED_FUNDS_FDIC" hidden="1">"c6345"</definedName>
    <definedName name="IQ_OTHER_BORROWINGS_AMOUNTS_NETTED_THRIFT" hidden="1">"c25546"</definedName>
    <definedName name="IQ_OTHER_BORROWINGS_LESS_THAN_1_YR_TOTAL_ASSETS_THRIFT" hidden="1">"c25705"</definedName>
    <definedName name="IQ_OTHER_BORROWINGS_LEVEL_1_THRIFT" hidden="1">"c25542"</definedName>
    <definedName name="IQ_OTHER_BORROWINGS_LEVEL_2_THRIFT" hidden="1">"c25543"</definedName>
    <definedName name="IQ_OTHER_BORROWINGS_LEVEL_3_THRIFT" hidden="1">"c25544"</definedName>
    <definedName name="IQ_OTHER_BORROWINGS_THRIFT" hidden="1">"c24904"</definedName>
    <definedName name="IQ_OTHER_BORROWINGS_TOTAL_AFTER_NETTING_THRIFT" hidden="1">"c25547"</definedName>
    <definedName name="IQ_OTHER_BORROWINGS_TOTAL_BEFORE_NETTING_THRIFT" hidden="1">"c25545"</definedName>
    <definedName name="IQ_OTHER_BROKERED_TIME_DEPOSITS_THRIFT" hidden="1">"c25006"</definedName>
    <definedName name="IQ_OTHER_CA_SUPPL_CM" hidden="1">"c871"</definedName>
    <definedName name="IQ_OTHER_CL_SUPPL_CM" hidden="1">"c880"</definedName>
    <definedName name="IQ_OTHER_COMMON_PREFERRED_STOCKS_ALL_OTHER_ACCOUNTS_THRIFT" hidden="1">"c25434"</definedName>
    <definedName name="IQ_OTHER_COMMON_PREFERRED_STOCKS_EMPLOYEE_BENEFIT_RETIREMENT_RELATED_ACCOUNTS_THRIFT" hidden="1">"c25418"</definedName>
    <definedName name="IQ_OTHER_COMMON_PREFERRED_STOCKS_PERSONAL_TRUST_AGENCY_INV_MANAGEMENT_ACCOUNTS_THRIFT" hidden="1">"c25402"</definedName>
    <definedName name="IQ_OTHER_COMPREHENSIVE_INCOME_FDIC" hidden="1">"c6503"</definedName>
    <definedName name="IQ_OTHER_COMPREHENSIVE_INCOME_SAVINGS_ASSOCIATION_THRIFT" hidden="1">"c25016"</definedName>
    <definedName name="IQ_OTHER_CONSTRUCTION_LOANS_GROSS_LOANS_THRIFT" hidden="1">"c25728"</definedName>
    <definedName name="IQ_OTHER_CONSTRUCTION_LOANS_RISK_BASED_CAPITAL_THRIFT" hidden="1">"c25713"</definedName>
    <definedName name="IQ_OTHER_CONSUMER_INC_LEASE_RECEIVABLES_THRIFT" hidden="1">"c24865"</definedName>
    <definedName name="IQ_OTHER_CONTINGENT_LIABILITIES_THRIFT" hidden="1">"c25621"</definedName>
    <definedName name="IQ_OTHER_CREDIT_CARD_LINES_UNUSED_FFIEC" hidden="1">"c25863"</definedName>
    <definedName name="IQ_OTHER_DEBT_SEC_DOM_AFS_AMORT_COST_FFIEC" hidden="1">"c20503"</definedName>
    <definedName name="IQ_OTHER_DEBT_SEC_DOM_AFS_FAIR_VAL_FFIEC" hidden="1">"c20468"</definedName>
    <definedName name="IQ_OTHER_DEBT_SEC_FOREIGN_AFS_AMORT_COST_FFIEC" hidden="1">"c20504"</definedName>
    <definedName name="IQ_OTHER_DEBT_SEC_FOREIGN_AFS_FAIR_VAL_FFIEC" hidden="1">"c20469"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HTM_AMORT_COST_FFIEC" hidden="1">"c20452"</definedName>
    <definedName name="IQ_OTHER_DEBT_SECURITIES_FOREIGN_HTM_FAIR_VAL_FFIEC" hidden="1">"c20487"</definedName>
    <definedName name="IQ_OTHER_DEDUCTIONS_ADJUSTED_ASSETS_THRIFT" hidden="1">"c25034"</definedName>
    <definedName name="IQ_OTHER_DEDUCTIONS_T1_THRIFT" hidden="1">"c25025"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LIGIBLE_0_PCT_RISK_WEIGHT_THRIFT" hidden="1">"c25054"</definedName>
    <definedName name="IQ_OTHER_ELIGIBLE_20_PCT_RISK_WEIGHT_THRIFT" hidden="1">"c25061"</definedName>
    <definedName name="IQ_OTHER_ELIGIBLE_50_PCT_RISK_WEIGHT_THRIFT" hidden="1">"c25068"</definedName>
    <definedName name="IQ_OTHER_EQUITY_CAPITAL_COMPONENTS_THRIFT" hidden="1">"c24924"</definedName>
    <definedName name="IQ_OTHER_EQUITY_CM" hidden="1">"c888"</definedName>
    <definedName name="IQ_OTHER_EQUITY_INSTRUMENTS_T2_THRIFT" hidden="1">"c25042"</definedName>
    <definedName name="IQ_OTHER_EQUITY_INV_NOT_CARRIED_FV_THRIFT" hidden="1">"c24881"</definedName>
    <definedName name="IQ_OTHER_FEES_CHARGES_THRIFT" hidden="1">"c24768"</definedName>
    <definedName name="IQ_OTHER_FIDUCIARY_ACCOUNTS_INC_THRIFT" hidden="1">"c24808"</definedName>
    <definedName name="IQ_OTHER_FIDUCIARY_ACCOUNTS_MANAGED_ASSETS_THRIFT" hidden="1">"c25355"</definedName>
    <definedName name="IQ_OTHER_FIDUCIARY_ACCOUNTS_NONMANAGED_ASSETS_THRIFT" hidden="1">"c25376"</definedName>
    <definedName name="IQ_OTHER_FIDUCIARY_ACCOUNTS_NUMBER_MANAGED_ACCOUNTS_THRIFT" hidden="1">"c25366"</definedName>
    <definedName name="IQ_OTHER_FIDUCIARY_ACCOUNTS_NUMBER_NONMANAGED_ACCOUNTS_THRIFT" hidden="1">"c25388"</definedName>
    <definedName name="IQ_OTHER_FIDUCIARY_ACCOUNTS_RELATED_SERVICES_GROSS_LOSSES_MANAGED_ACCOUNTS_THRIFT" hidden="1">"c25464"</definedName>
    <definedName name="IQ_OTHER_FIDUCIARY_ACCOUNTS_RELATED_SERVICES_GROSS_LOSSES_NONMANAGED_ACCOUNTS_THRIFT" hidden="1">"c25469"</definedName>
    <definedName name="IQ_OTHER_FIDUCIARY_ACCOUNTS_RELATED_SERVICES_RECOVERIES_THRIFT" hidden="1">"c25474"</definedName>
    <definedName name="IQ_OTHER_FIDUCIARY_RELATED_SERVICES_INC_THRIFT" hidden="1">"c24810"</definedName>
    <definedName name="IQ_OTHER_FINANCE_ACT_CM" hidden="1">"c895"</definedName>
    <definedName name="IQ_OTHER_FINANCE_ACT_SUPPL_CM" hidden="1">"c901"</definedName>
    <definedName name="IQ_OTHER_INSURANCE_FEES_FDIC" hidden="1">"c6672"</definedName>
    <definedName name="IQ_OTHER_INT_EARNING_DEPOSITS_THRIFT" hidden="1">"c24820"</definedName>
    <definedName name="IQ_OTHER_INTAN_CM" hidden="1">"c909"</definedName>
    <definedName name="IQ_OTHER_INTANGIBLE_FDIC" hidden="1">"c6337"</definedName>
    <definedName name="IQ_OTHER_INV_SEC_INV_SEC_THRIFT" hidden="1">"c25675"</definedName>
    <definedName name="IQ_OTHER_INV_SEC_THRIFT" hidden="1">"c24826"</definedName>
    <definedName name="IQ_OTHER_INVEST_ACT_CM" hidden="1">"c918"</definedName>
    <definedName name="IQ_OTHER_INVEST_ACT_SUPPL_CM" hidden="1">"c924"</definedName>
    <definedName name="IQ_OTHER_LIAB_CM" hidden="1">"c932"</definedName>
    <definedName name="IQ_OTHER_LIAB_LT_CM" hidden="1">"c937"</definedName>
    <definedName name="IQ_OTHER_LIABILITIES_DEFERRED_INCOME_THRIFT" hidden="1">"c24912"</definedName>
    <definedName name="IQ_OTHER_LIABILITIES_FDIC" hidden="1">"c6347"</definedName>
    <definedName name="IQ_OTHER_LIABILITIES_THRIFT" hidden="1">"c24905"</definedName>
    <definedName name="IQ_OTHER_LINES_CREDIT_THRIFT" hidden="1">"c25611"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LEASES_GROSS_LOANS_THRIFT" hidden="1">"c25735"</definedName>
    <definedName name="IQ_OTHER_LOANS_LEASES_RISK_BASED_CAPITAL_THRIFT" hidden="1">"c25720"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CM" hidden="1">"c948"</definedName>
    <definedName name="IQ_OTHER_MBS_AFS_AMORT_COST_FFIEC" hidden="1">"c20498"</definedName>
    <definedName name="IQ_OTHER_MBS_AFS_FAIR_VAL_FFIEC" hidden="1">"c20463"</definedName>
    <definedName name="IQ_OTHER_MBS_EXCLUDING_BONDS_THRIFT" hidden="1">"c24832"</definedName>
    <definedName name="IQ_OTHER_MBS_HTM_AMORT_COST_FFIEC" hidden="1">"c20446"</definedName>
    <definedName name="IQ_OTHER_MBS_HTM_FAIR_VAL_FFIEC" hidden="1">"c20481"</definedName>
    <definedName name="IQ_OTHER_MBS_THRIFT" hidden="1">"c24835"</definedName>
    <definedName name="IQ_OTHER_NO_NINT_INCOME_THRIFT" hidden="1">"c24780"</definedName>
    <definedName name="IQ_OTHER_NON_INT_EXP_FDIC" hidden="1">"c6578"</definedName>
    <definedName name="IQ_OTHER_NON_INT_EXP_THRIFT" hidden="1">"c24792"</definedName>
    <definedName name="IQ_OTHER_NON_INT_EXPENSE_FDIC" hidden="1">"c6679"</definedName>
    <definedName name="IQ_OTHER_NON_INT_INC_FDIC" hidden="1">"c6676"</definedName>
    <definedName name="IQ_OTHER_NON_INT_INCOME_ADJUSTED_OPERATING_INCOME_THRIFT" hidden="1">"c25691"</definedName>
    <definedName name="IQ_OTHER_NON_OPER_EXP_CM" hidden="1">"c957"</definedName>
    <definedName name="IQ_OTHER_NON_OPER_EXP_SUPPL_CM" hidden="1">"c962"</definedName>
    <definedName name="IQ_OTHER_NOTES_BONDS_ALL_OTHER_ACCOUNTS_THRIFT" hidden="1">"c25432"</definedName>
    <definedName name="IQ_OTHER_NOTES_BONDS_EMPLOYEE_BENEFIT_RETIREMENT_RELATED_ACCOUNTS_THRIFT" hidden="1">"c25416"</definedName>
    <definedName name="IQ_OTHER_NOTES_BONDS_PERSONAL_TRUST_AGENCY_INV_MANAGEMENT_ACCOUNTS_THRIFT" hidden="1">"c25400"</definedName>
    <definedName name="IQ_OTHER_OFF_BS_LIAB_FDIC" hidden="1">"c6533"</definedName>
    <definedName name="IQ_OTHER_OPER_ACT_CM" hidden="1">"c985"</definedName>
    <definedName name="IQ_OTHER_OPER_CM" hidden="1">"c990"</definedName>
    <definedName name="IQ_OTHER_OPER_SUPPL_CM" hidden="1">"c994"</definedName>
    <definedName name="IQ_OTHER_OPER_TOT_CM" hidden="1">"c1000"</definedName>
    <definedName name="IQ_OTHER_OPERATING_EXPENSES_ADJUSTED_OPERATING_INCOME_THRIFT" hidden="1">"c25687"</definedName>
    <definedName name="IQ_OTHER_OPERATING_EXPENSES_AVG_ASSETS_THRIFT" hidden="1">"c25664"</definedName>
    <definedName name="IQ_OTHER_PASS_THROUGH_THRIFT" hidden="1">"c24831"</definedName>
    <definedName name="IQ_OTHER_PML_SECURED_FIRST_LIEN_1_4_DWELLING_UNITS_DUE_30_89_THRIFT" hidden="1">"c25242"</definedName>
    <definedName name="IQ_OTHER_PML_SECURED_FIRST_LIEN_1_4_DWELLING_UNITS_DUE_90_THRIFT" hidden="1">"c25263"</definedName>
    <definedName name="IQ_OTHER_PML_SECURED_FIRST_LIEN_1_4_DWELLING_UNITS_NON_ACCRUAL_THRIFT" hidden="1">"c25284"</definedName>
    <definedName name="IQ_OTHER_PML_SECURED_JUNIOR_LIEN_1_4_DWELLING_UNITS_DUE_30_89_THRIFT" hidden="1">"c25243"</definedName>
    <definedName name="IQ_OTHER_PML_SECURED_JUNIOR_LIEN_1_4_DWELLING_UNITS_DUE_90_THRIFT" hidden="1">"c25264"</definedName>
    <definedName name="IQ_OTHER_PML_SECURED_JUNIOR_LIEN_1_4_DWELLING_UNITS_NON_ACCRUAL_THRIFT" hidden="1">"c25285"</definedName>
    <definedName name="IQ_OTHER_RE_OWNED_FDIC" hidden="1">"c6330"</definedName>
    <definedName name="IQ_OTHER_RENTAL" hidden="1">"c26971"</definedName>
    <definedName name="IQ_OTHER_REPOSSESSED_ASSETS_ADJUSTED_NCOS_TOTAL_THRIFT" hidden="1">"c25224"</definedName>
    <definedName name="IQ_OTHER_REPOSSESSED_ASSETS_GVA_CHARGE_OFFS_THRIFT" hidden="1">"c25139"</definedName>
    <definedName name="IQ_OTHER_REPOSSESSED_ASSETS_SVA_PROVISIONS_TRANSFERS_FROM_GVA_TOTAL_THRIFT" hidden="1">"c25193"</definedName>
    <definedName name="IQ_OTHER_RESIDUAL_INTERESTS_THRIFT" hidden="1">"c24940"</definedName>
    <definedName name="IQ_OTHER_REV_CM" hidden="1">"c1011"</definedName>
    <definedName name="IQ_OTHER_REV_SUPPL_CM" hidden="1">"c1016"</definedName>
    <definedName name="IQ_OTHER_SAVINGS_DEPOSITS_FDIC" hidden="1">"c6554"</definedName>
    <definedName name="IQ_OTHER_SERVICE_CHARGES_COMM_FEE_DOM_FFIEC" hidden="1">"c25822"</definedName>
    <definedName name="IQ_OTHER_SHORT_TERM_OBLIGATIONS_ALL_OTHER_ACCOUNTS_THRIFT" hidden="1">"c25431"</definedName>
    <definedName name="IQ_OTHER_SHORT_TERM_OBLIGATIONS_EMPLOYEE_BENEFIT_RETIREMENT_RELATED_ACCOUNTS_THRIFT" hidden="1">"c25415"</definedName>
    <definedName name="IQ_OTHER_SHORT_TERM_OBLIGATIONS_PERSONAL_TRUST_AGENCY_INV_MANAGEMENT_ACCOUNTS_THRIFT" hidden="1">"c25399"</definedName>
    <definedName name="IQ_OTHER_TEMP_IMPAIR_LOSS_HTM_AFS_FFIEC" hidden="1">"c25845"</definedName>
    <definedName name="IQ_OTHER_TIME_DEPOSITS_THRIFT" hidden="1">"c25569"</definedName>
    <definedName name="IQ_OTHER_TRANSACTIONS_FDIC" hidden="1">"c6504"</definedName>
    <definedName name="IQ_OTHER_UNUSED_COMMITMENTS_FDIC" hidden="1">"c6530"</definedName>
    <definedName name="IQ_OTHER_UNUSUAL_CM" hidden="1">"c1561"</definedName>
    <definedName name="IQ_OTHER_UNUSUAL_SUPPL_CM" hidden="1">"c1496"</definedName>
    <definedName name="IQ_OUTSTANDING_BALANCE_CONTRACTUAL_PURCHASED_CREDIT_IMPAIRED_LOANS_THRIFT" hidden="1">"c25237"</definedName>
    <definedName name="IQ_OUTSTANDING_CHECKS_DRAWN_AGAINST_FHLBS_FEDERAL_RESERVE_BANKS_THRIFT" hidden="1">"c25571"</definedName>
    <definedName name="IQ_OUTSTANDING_COMMITMENTS_LOANS_CLOSED_LOANS_IN_PROCESS_MORTGAGE_CONSTRUCTION_LOANS_THRIFT" hidden="1">"c25591"</definedName>
    <definedName name="IQ_OUTSTANDING_COMMITMENTS_LOANS_CLOSED_LOANS_IN_PROCESS_NON_MORTGAGE_LOANS_THRIFT" hidden="1">"c25593"</definedName>
    <definedName name="IQ_OUTSTANDING_COMMITMENTS_LOANS_CLOSED_LOANS_IN_PROCESS_OTHER_MORTGAGE_LOANS_THRIFT" hidden="1">"c25592"</definedName>
    <definedName name="IQ_OUTSTANDING_COMMITMENTS_ORIGINATE_MORTGAGE_LOANS_SECURED_1_4_DWELLING_UNITS_THRIFT" hidden="1">"c25595"</definedName>
    <definedName name="IQ_OUTSTANDING_COMMITMENTS_ORIGINATE_MORTGAGE_LOANS_SECURED_ALL_OTHER_RE_THRIFT" hidden="1">"c25597"</definedName>
    <definedName name="IQ_OUTSTANDING_COMMITMENTS_ORIGINATE_MORTGAGE_LOANS_SECURED_MULTIFAMILY_5_MORE_DWELLING_UNITS_THRIFT" hidden="1">"c25596"</definedName>
    <definedName name="IQ_OUTSTANDING_COMMITMENTS_ORIGINATE_MORTGAGE_LOANS_SECURED_RE_THRIFT" hidden="1">"c25594"</definedName>
    <definedName name="IQ_OUTSTANDING_COMMITMENTS_ORIGINATE_NON_MORTGAGE_LOANS_THRIFT" hidden="1">"c25598"</definedName>
    <definedName name="IQ_OUTSTANDING_COMMITMENTS_PURCHASE_INV_SEC_THRIFT" hidden="1">"c25603"</definedName>
    <definedName name="IQ_OUTSTANDING_COMMITMENTS_PURCHASE_LOANS_THRIFT" hidden="1">"c25599"</definedName>
    <definedName name="IQ_OUTSTANDING_COMMITMENTS_PURCHASE_MORTGAGE_BACKED_SEC_THRIFT" hidden="1">"c25601"</definedName>
    <definedName name="IQ_OUTSTANDING_COMMITMENTS_SELL_INV_SEC_THRIFT" hidden="1">"c25604"</definedName>
    <definedName name="IQ_OUTSTANDING_COMMITMENTS_SELL_LOANS_THRIFT" hidden="1">"c25600"</definedName>
    <definedName name="IQ_OUTSTANDING_COMMITMENTS_SELL_MORTGAGE_BACKED_SEC_THRIFT" hidden="1">"c25602"</definedName>
    <definedName name="IQ_OUTSTANDING_COMMITMENTS_UNDISBURSED_BALANCE_LOANS_CLOSED_THRIFT" hidden="1">"c25590"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DJUSTED_OPERATING_INCOME_THRIFT" hidden="1">"c25684"</definedName>
    <definedName name="IQ_OVERHEAD_EXP_AVG_ASSETS_THRIFT" hidden="1">"c25652"</definedName>
    <definedName name="IQ_OVERHEAD_EXP_REVENUES_THRIFT" hidden="1">"c25683"</definedName>
    <definedName name="IQ_OVERHEAD_LESS_NON_INT_INCOME_ADJUSTED_OPERATING_INCOME_THRIFT" hidden="1">"c25692"</definedName>
    <definedName name="IQ_OVERHEAD_LESS_NON_INT_INCOME_AVG_ASSETS_THRIFT" hidden="1">"c25665"</definedName>
    <definedName name="IQ_PARTICIPATION_POOLS_RESIDENTIAL_MORTGAGES_FDIC" hidden="1">"c6403"</definedName>
    <definedName name="IQ_PASS_THROUGH_MBS_THRIFT" hidden="1">"c24829"</definedName>
    <definedName name="IQ_PASSBOOK_ACCOUNTS_INC_NONDEMAND_ESCROWS_THRIFT" hidden="1">"c25000"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LOANS_GROSS_LOANS_THRIFT" hidden="1">"c25737"</definedName>
    <definedName name="IQ_PERCENT_ASSETS_TEST_THRIFT" hidden="1">"c25587"</definedName>
    <definedName name="IQ_PERCENT_INSURED_FDIC" hidden="1">"c6374"</definedName>
    <definedName name="IQ_PERIODDATE_FDIC" hidden="1">"c13646"</definedName>
    <definedName name="IQ_PERIODDATE_THRIFT" hidden="1">"c25897"</definedName>
    <definedName name="IQ_PERMANENT_1_4_DWELLING_UNITS_ALL_OTHER_SECURED_FIRST_LIENS_THRIFT" hidden="1">"c24844"</definedName>
    <definedName name="IQ_PERMANENT_1_4_DWELLING_UNITS_ALL_OTHER_SECURED_JUNIOR_LIENS_THRIFT" hidden="1">"c24845"</definedName>
    <definedName name="IQ_PERMANENT_1_4_DWELLING_UNITS_REVOLVING_OPEN_END_LOANS_THRIFT" hidden="1">"c24843"</definedName>
    <definedName name="IQ_PERMANENT_LAND_THRIFT" hidden="1">"c24848"</definedName>
    <definedName name="IQ_PERMANENT_LOANS_SECURED_1_4_DWELLING_UNITS_FORECLOSED_DURING_QUARTER_THRIFT" hidden="1">"c25232"</definedName>
    <definedName name="IQ_PERMANENT_LOANS_SECURED_LAND_FORECLOSED_DURING_QUARTER_THRIFT" hidden="1">"c25235"</definedName>
    <definedName name="IQ_PERMANENT_LOANS_SECURED_MULTIFAMILY_5_MORE_DWELLING_UNITS_FORECLOSED_DURING_QUARTER_THRIFT" hidden="1">"c25233"</definedName>
    <definedName name="IQ_PERMANENT_LOANS_SECURED_NONRES_EXCEPT_LAND_FORECLOSED_DURING_QUARTER_THRIFT" hidden="1">"c25234"</definedName>
    <definedName name="IQ_PERMANENT_MORTGAGE_LOANS_THRIFT" hidden="1">"c24842"</definedName>
    <definedName name="IQ_PERMANENT_MULTIFAMILY_5_MORE_DWELLING_UNITS_THRIFT" hidden="1">"c24846"</definedName>
    <definedName name="IQ_PERMANENT_NONRES_PROPERTY_EXCEPT_LAND_THRIFT" hidden="1">"c24847"</definedName>
    <definedName name="IQ_PERPETUAL_PREF_STOCK_THRIFT" hidden="1">"c24914"</definedName>
    <definedName name="IQ_PERSON_INCOME" hidden="1">"c20954"</definedName>
    <definedName name="IQ_PERSONAL_CURRENT_TAXES" hidden="1">"c20956"</definedName>
    <definedName name="IQ_PERSONAL_DISPOSABLE_INCOME" hidden="1">"c20957"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TRANSFER_RECEIPTS" hidden="1">"c20981"</definedName>
    <definedName name="IQ_PERSONAL_INCOME_TRANSFER_RECEIPTS_OTHER" hidden="1">"c20982"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AL_TRUST_AGENCY_ACCOUNTS_GROSS_LOSSES_MANAGED_ACCOUNTS_THRIFT" hidden="1">"c25461"</definedName>
    <definedName name="IQ_PERSONAL_TRUST_AGENCY_ACCOUNTS_GROSS_LOSSES_NONMANAGED_ACCOUNTS_THRIFT" hidden="1">"c25466"</definedName>
    <definedName name="IQ_PERSONAL_TRUST_AGENCY_ACCOUNTS_INC_THRIFT" hidden="1">"c24801"</definedName>
    <definedName name="IQ_PERSONAL_TRUST_AGENCY_ACCOUNTS_MANAGED_ASSETS_THRIFT" hidden="1">"c25347"</definedName>
    <definedName name="IQ_PERSONAL_TRUST_AGENCY_ACCOUNTS_NONMANAGED_ASSETS_THRIFT" hidden="1">"c25368"</definedName>
    <definedName name="IQ_PERSONAL_TRUST_AGENCY_ACCOUNTS_NUMBER_MANAGED_ACCOUNTS_THRIFT" hidden="1">"c25358"</definedName>
    <definedName name="IQ_PERSONAL_TRUST_AGENCY_ACCOUNTS_NUMBER_NONMANAGED_ACCOUNTS_THRIFT" hidden="1">"c25380"</definedName>
    <definedName name="IQ_PERSONAL_TRUST_AGENCY_ACCOUNTS_RECOVERIES_THRIFT" hidden="1">"c25471"</definedName>
    <definedName name="IQ_PERSONNEL_EXP_ADJUSTED_OPERATING_INCOME_THRIFT" hidden="1">"c25685"</definedName>
    <definedName name="IQ_PERSONNEL_EXP_AVG_ASSETS_THRIFT" hidden="1">"c25662"</definedName>
    <definedName name="IQ_PLEDGED_LOANS_THRIFT" hidden="1">"c24936"</definedName>
    <definedName name="IQ_PLEDGED_SECURITIES_FDIC" hidden="1">"c6401"</definedName>
    <definedName name="IQ_PLEDGED_SECURITIES_FFIEC" hidden="1">"c24743"</definedName>
    <definedName name="IQ_PLEDGED_TRADING_ASSETS_THRIFT" hidden="1">"c24937"</definedName>
    <definedName name="IQ_PML_SECURED_LAND_DUE_30_89_THRIFT" hidden="1">"c25246"</definedName>
    <definedName name="IQ_PML_SECURED_LAND_DUE_90_THRIFT" hidden="1">"c25267"</definedName>
    <definedName name="IQ_PML_SECURED_LAND_NON_ACCRUAL_THRIFT" hidden="1">"c25288"</definedName>
    <definedName name="IQ_PML_SECURED_MULTIFAMILY_5_MORE_DWELLING_UNITS_DUE_30_89_THRIFT" hidden="1">"c25244"</definedName>
    <definedName name="IQ_PML_SECURED_MULTIFAMILY_5_MORE_DWELLING_UNITS_DUE_90_THRIFT" hidden="1">"c25265"</definedName>
    <definedName name="IQ_PML_SECURED_MULTIFAMILY_5_MORE_DWELLING_UNITS_NON_ACCRUAL_THRIFT" hidden="1">"c25286"</definedName>
    <definedName name="IQ_PML_SECURED_NONRES_PROPERTY_EXCEPT_LAND_DUE_30_89_THRIFT" hidden="1">"c25245"</definedName>
    <definedName name="IQ_PML_SECURED_NONRES_PROPERTY_EXCEPT_LAND_DUE_90_THRIFT" hidden="1">"c25266"</definedName>
    <definedName name="IQ_PML_SECURED_NONRES_PROPERTY_EXCEPT_LAND_NON_ACCRUAL_THRIFT" hidden="1">"c25287"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RE_TAX_INCOME_FDIC" hidden="1">"c6581"</definedName>
    <definedName name="IQ_PREF_ISSUED_CM" hidden="1">"c1047"</definedName>
    <definedName name="IQ_PREF_OTHER_CM" hidden="1">"c1055"</definedName>
    <definedName name="IQ_PREF_REP_CM" hidden="1">"c1062"</definedName>
    <definedName name="IQ_PREFERRED_DEPOSITS_THRIFT" hidden="1">"c24996"</definedName>
    <definedName name="IQ_PREFERRED_FDIC" hidden="1">"c6349"</definedName>
    <definedName name="IQ_PREFERRED_STOCK_DIVIDENDS_DECLARED_SAVINGS_ASSOCIATION_THRIFT" hidden="1">"c25010"</definedName>
    <definedName name="IQ_PREMISES_EQUIPMENT_FDIC" hidden="1">"c6577"</definedName>
    <definedName name="IQ_PRETAX_RETURN_ASSETS_FDIC" hidden="1">"c6731"</definedName>
    <definedName name="IQ_PRICE_SALES" hidden="1">"c17552"</definedName>
    <definedName name="IQ_PRIMARY_EST_CONSOLIDATION" hidden="1">"c16246"</definedName>
    <definedName name="IQ_PRIMARY_EST_CONSOLIDATION_CIQ" hidden="1">"c16247"</definedName>
    <definedName name="IQ_PRIOR_PERIOD_ADJUSTMENTS_SAVINGS_ASSOCIATION_THRIFT" hidden="1">"c25017"</definedName>
    <definedName name="IQ_PRIVATELY_ISSUED_MORTGAGE_BACKED_SECURITIES_FDIC" hidden="1">"c6407"</definedName>
    <definedName name="IQ_PRIVATELY_ISSUED_MORTGAGE_PASS_THROUGHS_FDIC" hidden="1">"c6405"</definedName>
    <definedName name="IQ_PROVISION_LL_AVG_LOANS_THRIFT" hidden="1">"c25639"</definedName>
    <definedName name="IQ_PROVISION_LL_INT_BEARING_ASSETS_THRIFT" hidden="1">"c24783"</definedName>
    <definedName name="IQ_PROVISION_LL_NET_LOSSES_THRIFT" hidden="1">"c25640"</definedName>
    <definedName name="IQ_PROVISION_LL_NON_INT_BEARING_ASSETS_THRIFT" hidden="1">"c24784"</definedName>
    <definedName name="IQ_PROVISION_LOAN_LL_AVG_ASSETS_THRIFT" hidden="1">"c25785"</definedName>
    <definedName name="IQ_PROVISION_LOAN_LOSSES_AVG_ASSETS_THRIFT" hidden="1">"c25653"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OTHER_MORTGAGE_BACKED_SEC_THRIFT" hidden="1">"c25314"</definedName>
    <definedName name="IQ_PURCHASES_PASS_THROUGH_MORTGAGE_BACKED_SEC_THRIFT" hidden="1">"c25311"</definedName>
    <definedName name="IQ_QTD" hidden="1">750000</definedName>
    <definedName name="IQ_QUALIFYING_MULTIFAMILY_RES_MORTGAGE_LOANS_ELIGIBLE_50_PCT_RISK_WEIGHT_THRIFT" hidden="1">"c25065"</definedName>
    <definedName name="IQ_QUALIFYING_SINGLE_FAMILY_RES_MORTGAGE_LOANS_ELIGIBLE_50_PCT_RISK_WEIGHT_THRIFT" hidden="1">"c25064"</definedName>
    <definedName name="IQ_QUALIFYING_SUB_DEBT_REDEEMABLE_PREFERRED_T2_THRIFT" hidden="1">"c25041"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E_1_4_DWELLING_UNITS_REPOSSESSED_ASSETS_ADJUSTED_NCOS_TOTAL_THRIFT" hidden="1">"c25220"</definedName>
    <definedName name="IQ_RE_1_4_DWELLING_UNITS_REPOSSESSED_ASSETS_GVA_CHARGE_OFFS_THRIFT" hidden="1">"c25135"</definedName>
    <definedName name="IQ_RE_1_4_DWELLING_UNITS_REPOSSESSED_ASSETS_SVA_PROVISIONS_TRANSFERS_FROM_GVA_TOTAL_THRIFT" hidden="1">"c25189"</definedName>
    <definedName name="IQ_RE_ALL_OTHER_ACCOUNTS_THRIFT" hidden="1">"c25436"</definedName>
    <definedName name="IQ_RE_CONSTRUCTION_REPOSSESSED_ASSETS_ADJUSTED_NCOS_TOTAL_THRIFT" hidden="1">"c25219"</definedName>
    <definedName name="IQ_RE_CONSTRUCTION_REPOSSESSED_ASSETS_GVA_CHARGE_OFFS_THRIFT" hidden="1">"c25134"</definedName>
    <definedName name="IQ_RE_CONSTRUCTION_REPOSSESSED_ASSETS_SVA_PROVISIONS_TRANSFERS_FROM_GVA_TOTAL_THRIFT" hidden="1">"c25188"</definedName>
    <definedName name="IQ_RE_EMPLOYEE_BENEFIT_RETIREMENT_RELATED_ACCOUNTS_THRIFT" hidden="1">"c25420"</definedName>
    <definedName name="IQ_RE_FORECLOSURE_FDIC" hidden="1">"c6332"</definedName>
    <definedName name="IQ_RE_HELD_INV_ADJUSTED_NCOS_THRIFT" hidden="1">"c25225"</definedName>
    <definedName name="IQ_RE_HELD_INV_GVA_CHARGE_OFFS_THRIFT" hidden="1">"c25140"</definedName>
    <definedName name="IQ_RE_HELD_INV_SVA_PROVISIONS_TRANSFERS_FROM_GVA_THRIFT" hidden="1">"c25194"</definedName>
    <definedName name="IQ_RE_HELD_INV_THRIFT" hidden="1">"c24878"</definedName>
    <definedName name="IQ_RE_INVEST_FDIC" hidden="1">"c6331"</definedName>
    <definedName name="IQ_RE_LAND_REPOSSESSED_ASSETS_ADJUSTED_NCOS_TOTAL_THRIFT" hidden="1">"c25223"</definedName>
    <definedName name="IQ_RE_LAND_REPOSSESSED_ASSETS_GVA_CHARGE_OFFS_THRIFT" hidden="1">"c25138"</definedName>
    <definedName name="IQ_RE_LAND_REPOSSESSED_ASSETS_SVA_PROVISIONS_TRANSFERS_FROM_GVA_TOTAL_THRIFT" hidden="1">"c25192"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DUE_30_89_FFIEC" hidden="1">"c25826"</definedName>
    <definedName name="IQ_RE_LOANS_DUE_90_FFIEC" hidden="1">"c25827"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NON_ACCRUAL_FFIEC" hidden="1">"c25828"</definedName>
    <definedName name="IQ_RE_LOANS_SECURED_1_4_FAMILY_GROSS_LOANS_THRIFT" hidden="1">"c25722"</definedName>
    <definedName name="IQ_RE_LOANS_SECURED_1_4_FAMILY_RISK_BASED_CAPITAL_THRIFT" hidden="1">"c25707"</definedName>
    <definedName name="IQ_RE_LOANS_SECURED_LAND_GROSS_LOANS_THRIFT" hidden="1">"c25731"</definedName>
    <definedName name="IQ_RE_LOANS_SECURED_LAND_RISK_BASED_CAPITAL_THRIFT" hidden="1">"c25716"</definedName>
    <definedName name="IQ_RE_MORTGAGES_ALL_OTHER_ACCOUNTS_THRIFT" hidden="1">"c25435"</definedName>
    <definedName name="IQ_RE_MORTGAGES_EMPLOYEE_BENEFIT_RETIREMENT_RELATED_ACCOUNTS_THRIFT" hidden="1">"c25419"</definedName>
    <definedName name="IQ_RE_MORTGAGES_PERSONAL_TRUST_AGENCY_INV_MANAGEMENT_ACCOUNTS_THRIFT" hidden="1">"c25403"</definedName>
    <definedName name="IQ_RE_MULTIFAMILY_5_MORE_DWELLING_UNITS_REPOSSESSED_ASSETS_ADJUSTED_NCOS_TOTAL_THRIFT" hidden="1">"c25221"</definedName>
    <definedName name="IQ_RE_MULTIFAMILY_5_MORE_DWELLING_UNITS_REPOSSESSED_ASSETS_GVA_CHARGE_OFFS_THRIFT" hidden="1">"c25136"</definedName>
    <definedName name="IQ_RE_MULTIFAMILY_5_MORE_DWELLING_UNITS_REPOSSESSED_ASSETS_SVA_PROVISIONS_TRANSFERS_FROM_GVA_TOTAL_THRIFT" hidden="1">"c25190"</definedName>
    <definedName name="IQ_RE_NONRES_EXCEPT_LAND_REPOSSESSED_ASSETS_ADJUSTED_NCOS_TOTAL_THRIFT" hidden="1">"c25222"</definedName>
    <definedName name="IQ_RE_NONRES_EXCEPT_LAND_REPOSSESSED_ASSETS_GVA_CHARGE_OFFS_THRIFT" hidden="1">"c25137"</definedName>
    <definedName name="IQ_RE_NONRES_EXCEPT_LAND_REPOSSESSED_ASSETS_SVA_PROVISIONS_TRANSFERS_FROM_GVA_TOTAL_THRIFT" hidden="1">"c25191"</definedName>
    <definedName name="IQ_RE_PERSONAL_TRUST_AGENCY_INV_MANAGEMENT_ACCOUNTS_THRIFT" hidden="1">"c25404"</definedName>
    <definedName name="IQ_REAL_DOMESTIC_PURCHASES" hidden="1">"c20997"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BOOKED_GNMA_LOANS_REPURCHASED_ELIGIBLE_REPURCHASE_DUE_30_89_THRIFT" hidden="1">"c25260"</definedName>
    <definedName name="IQ_REBOOKED_GNMA_LOANS_REPURCHASED_ELIGIBLE_REPURCHASE_DUE_90_THRIFT" hidden="1">"c25281"</definedName>
    <definedName name="IQ_REBOOKED_GNMA_LOANS_REPURCHASED_ELIGIBLE_REPURCHASE_NON_ACCRUAL_THRIFT" hidden="1">"c25302"</definedName>
    <definedName name="IQ_RECIPROCAL_BROKERED_DEPOSITS_THRIFT" hidden="1">"c24997"</definedName>
    <definedName name="IQ_RECORDED_INV_PURCHASED_CREDIT_IMPAIRED_LOANS_THRIFT" hidden="1">"c25238"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GVA_THRIFT" hidden="1">"c25094"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OVERIES_TVA_THRIFT" hidden="1">"c25108"</definedName>
    <definedName name="IQ_RELATED_PLANS_FDIC" hidden="1">"c6320"</definedName>
    <definedName name="IQ_REPOSSESS_1_4_DWELLING_UNITS_RE_THRIFT" hidden="1">"c24871"</definedName>
    <definedName name="IQ_REPOSSESS_ASSETS_THRIFT" hidden="1">"c24869"</definedName>
    <definedName name="IQ_REPOSSESS_CONSTRUCTION_RE_THRIFT" hidden="1">"c24870"</definedName>
    <definedName name="IQ_REPOSSESS_GVA_THRIFT" hidden="1">"c24877"</definedName>
    <definedName name="IQ_REPOSSESS_LAND_THRIFT" hidden="1">"c24874"</definedName>
    <definedName name="IQ_REPOSSESS_MULTIFAMILY_5_MORE_DWELLING_UNITS_RE_THRIFT" hidden="1">"c24872"</definedName>
    <definedName name="IQ_REPOSSESS_NONRES_EXCEPT_LAND_RE_THRIFT" hidden="1">"c24873"</definedName>
    <definedName name="IQ_REPOSSESS_OTHER_ASSETS_THRIFT" hidden="1">"c24876"</definedName>
    <definedName name="IQ_REPOSSESS_US_GOVT_GUARANTEED_INSURED_RE_OWNED_THRIFT" hidden="1">"c24875"</definedName>
    <definedName name="IQ_REPOSSESSED_ASSETS_TOTAL_ADJUSTED_NCOS_TOTAL_THRIFT" hidden="1">"c25218"</definedName>
    <definedName name="IQ_REPOSSESSED_ASSETS_TOTAL_GVA_CHARGE_OFFS_THRIFT" hidden="1">"c25133"</definedName>
    <definedName name="IQ_REPOSSESSED_ASSETS_TOTAL_SVA_PROVISIONS_TRANSFERS_FROM_GVA_TOTAL_THRIFT" hidden="1">"c25187"</definedName>
    <definedName name="IQ_RESIDUAL_INTERESTS_INT_ONLY_STRIPS_THRIFT" hidden="1">"c24939"</definedName>
    <definedName name="IQ_RESIDUAL_INTERESTS_THRIFT" hidden="1">"c24938"</definedName>
    <definedName name="IQ_RESTATEMENTS_NET_FDIC" hidden="1">"c6500"</definedName>
    <definedName name="IQ_RESTRUCTURE_CM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SALES_BUILDING_MATERIAL" hidden="1">"c21087"</definedName>
    <definedName name="IQ_RETAIL_SALES_CLOTHING" hidden="1">"c21088"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SPORTING_GOODS" hidden="1">"c21097"</definedName>
    <definedName name="IQ_RETAIL_SALES_TOTAL" hidden="1">"c21098"</definedName>
    <definedName name="IQ_RETAIL_SALES_TOTAL_EX_MOTOR_VEHICLE" hidden="1">"c21099"</definedName>
    <definedName name="IQ_RETAIL_SALES_YOY_PCT" hidden="1">"c21100"</definedName>
    <definedName name="IQ_RETAINED_EARNINGS_AVERAGE_EQUITY_FDIC" hidden="1">"c6733"</definedName>
    <definedName name="IQ_RETAINED_EARNINGS_EQUITY_THRIFT" hidden="1">"c25633"</definedName>
    <definedName name="IQ_RETAINED_EARNINGS_THRIFT" hidden="1">"c24919"</definedName>
    <definedName name="IQ_RETIREMENT_DEFINED_BENEFIT_INC_THRIFT" hidden="1">"c24803"</definedName>
    <definedName name="IQ_RETIREMENT_DEFINED_CONT_INC_THRIFT" hidden="1">"c24802"</definedName>
    <definedName name="IQ_RETIREMENT_DEPOSITS_LESS_THAN_250000_THRIFT" hidden="1">"c24990"</definedName>
    <definedName name="IQ_RETIREMENT_DEPOSITS_WITH_BALANCES_GREATER_THAN_250000_THRIFT" hidden="1">"c24991"</definedName>
    <definedName name="IQ_RETIREMENT_OTHER_RETIREMENT_ACCOUNTS_INC_THRIFT" hidden="1">"c24804"</definedName>
    <definedName name="IQ_RETIREMENT_RELATED_EMPLOYEE_BENEFIT_ACCOUNTS_GROSS_LOSSES_MANAGED_ACCOUNTS_THRIFT" hidden="1">"c25462"</definedName>
    <definedName name="IQ_RETIREMENT_RELATED_EMPLOYEE_BENEFIT_ACCOUNTS_GROSS_LOSSES_NONMANAGED_ACCOUNTS_THRIFT" hidden="1">"c25467"</definedName>
    <definedName name="IQ_RETIREMENT_RELATED_EMPLOYEE_BENEFIT_ACCOUNTS_RECOVERIES_THRIFT" hidden="1">"c25472"</definedName>
    <definedName name="IQ_RETIREMENT_RELATED_TRUST_AGENCY_ACCOUNTS_EMPLOYEE_BENEFIT_DEFINED_BENEFIT_MANAGED_ASSETS_THRIFT" hidden="1">"c25349"</definedName>
    <definedName name="IQ_RETIREMENT_RELATED_TRUST_AGENCY_ACCOUNTS_EMPLOYEE_BENEFIT_DEFINED_BENEFIT_NONMANAGED_ASSETS_THRIFT" hidden="1">"c25370"</definedName>
    <definedName name="IQ_RETIREMENT_RELATED_TRUST_AGENCY_ACCOUNTS_EMPLOYEE_BENEFIT_DEFINED_BENEFIT_NUMBER_MANAGED_ACCOUNTS_THRIFT" hidden="1">"c25360"</definedName>
    <definedName name="IQ_RETIREMENT_RELATED_TRUST_AGENCY_ACCOUNTS_EMPLOYEE_BENEFIT_DEFINED_BENEFIT_NUMBER_NONMANAGED_ACCOUNTS_THRIFT" hidden="1">"c25382"</definedName>
    <definedName name="IQ_RETIREMENT_RELATED_TRUST_AGENCY_ACCOUNTS_EMPLOYEE_BENEFIT_DEFINED_CONTRIBUTION_MANAGED_ASSETS_THRIFT" hidden="1">"c25348"</definedName>
    <definedName name="IQ_RETIREMENT_RELATED_TRUST_AGENCY_ACCOUNTS_EMPLOYEE_BENEFIT_DEFINED_CONTRIBUTION_NONMANAGED_ASSETS_THRIFT" hidden="1">"c25369"</definedName>
    <definedName name="IQ_RETIREMENT_RELATED_TRUST_AGENCY_ACCOUNTS_EMPLOYEE_BENEFIT_DEFINED_CONTRIBUTION_NUMBER_MANAGED_ACCOUNTS_THRIFT" hidden="1">"c25359"</definedName>
    <definedName name="IQ_RETIREMENT_RELATED_TRUST_AGENCY_ACCOUNTS_EMPLOYEE_BENEFIT_DEFINED_CONTRIBUTION_NUMBER_NONMANAGED_ACCOUNTS_THRIFT" hidden="1">"c25381"</definedName>
    <definedName name="IQ_RETIREMENT_RELATED_TRUST_AGENCY_ACCOUNTS_EMPLOYEE_BENEFIT_OTHER_MANAGED_ASSETS_THRIFT" hidden="1">"c25350"</definedName>
    <definedName name="IQ_RETIREMENT_RELATED_TRUST_AGENCY_ACCOUNTS_EMPLOYEE_BENEFIT_OTHER_NONMANAGED_ASSETS_THRIFT" hidden="1">"c25371"</definedName>
    <definedName name="IQ_RETIREMENT_RELATED_TRUST_AGENCY_ACCOUNTS_EMPLOYEE_BENEFIT_OTHER_NUMBER_MANAGED_ACCOUNTS_THRIFT" hidden="1">"c25361"</definedName>
    <definedName name="IQ_RETIREMENT_RELATED_TRUST_AGENCY_ACCOUNTS_EMPLOYEE_BENEFIT_OTHER_NUMBER_NONMANAGED_ACCOUNTS_THRIFT" hidden="1">"c25383"</definedName>
    <definedName name="IQ_RETURN_ASSETS_CM" hidden="1">"c1115"</definedName>
    <definedName name="IQ_RETURN_ASSETS_FDIC" hidden="1">"c6730"</definedName>
    <definedName name="IQ_RETURN_EQUITY_CM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EVENUE_BEFORE_LL_THRIFT" hidden="1">"c24782"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OLVING_LOANS_GROSS_LOANS_THRIFT" hidden="1">"c25723"</definedName>
    <definedName name="IQ_REVOLVING_LOANS_RISK_BASED_CAPITAL_THRIFT" hidden="1">"c25708"</definedName>
    <definedName name="IQ_REVOLVING_OPEN_END_PML_SECURED_1_4_DWELLING_UNITS_DUE_30_89_THRIFT" hidden="1">"c25241"</definedName>
    <definedName name="IQ_REVOLVING_OPEN_END_PML_SECURED_1_4_DWELLING_UNITS_DUE_90_THRIFT" hidden="1">"c25262"</definedName>
    <definedName name="IQ_REVOLVING_OPEN_END_PML_SECURED_1_4_DWELLING_UNITS_NON_ACCRUAL_THRIFT" hidden="1">"c25283"</definedName>
    <definedName name="IQ_RISK_WEIGHTED_ASSETS_BEFORE_EXCESS_ALLOWANCE_LL_LOSSES_THRIFT" hidden="1">"c25077"</definedName>
    <definedName name="IQ_RISK_WEIGHTED_ASSETS_FDIC" hidden="1">"c6370"</definedName>
    <definedName name="IQ_RISK_WEIGHTED_ASSETS_LOW_LEVEL_RECOURSE_RESIDUAL_INTERESTS_THRIFT" hidden="1">"c25075"</definedName>
    <definedName name="IQ_RSSD_ID_FFIEC" hidden="1">"c20506"</definedName>
    <definedName name="IQ_SALARIES_EMPLOYEE_BENEFITS_THRIFT" hidden="1">"c24786"</definedName>
    <definedName name="IQ_SALARY_FDIC" hidden="1">"c6576"</definedName>
    <definedName name="IQ_SALE_CONVERSION_RETIREMENT_STOCK_FDIC" hidden="1">"c6661"</definedName>
    <definedName name="IQ_SALE_INTAN_CF_CM" hidden="1">"c1133"</definedName>
    <definedName name="IQ_SALE_PPE_CF_CM" hidden="1">"c1139"</definedName>
    <definedName name="IQ_SALE_PROCEEDS_RENTAL_ASSETS" hidden="1">"c26974"</definedName>
    <definedName name="IQ_SALE_REAL_ESTATE_CF_CM" hidden="1">"c1145"</definedName>
    <definedName name="IQ_SALES_COMM_NON_MORTGAGE_LOANS_THRIFT" hidden="1">"c25340"</definedName>
    <definedName name="IQ_SALES_CONSUMER_NON_MORTGAGE_LOANS_THRIFT" hidden="1">"c25342"</definedName>
    <definedName name="IQ_SALES_OTHER_MORTGAGE_BACKED_SEC_THRIFT" hidden="1">"c25315"</definedName>
    <definedName name="IQ_SALES_PASS_THROUGH_MORTGAGE_BACKED_SEC_THRIFT" hidden="1">"c25312"</definedName>
    <definedName name="IQ_SAVINGS_ASSOCIATION_EQUITY_CAPITAL_BEGINNING_BALANCE_FROM_PRIOR_QTR_THRIFT" hidden="1">"c25008"</definedName>
    <definedName name="IQ_SAVINGS_ASSOCIATION_EQUITY_CAPITAL_ENDING_BALANCE_THRIFT" hidden="1">"c25019"</definedName>
    <definedName name="IQ_SEC_BACKED_NON_MORTGAGE_LOANS_THRIFT" hidden="1">"c24825"</definedName>
    <definedName name="IQ_SEC_BACKED_US_GOVT_ELIGIBLE_0_PCT_RISK_WEIGHT_THRIFT" hidden="1">"c25052"</definedName>
    <definedName name="IQ_SEC_ISSUED_US_AFS_AMORT_COST_FFIEC" hidden="1">"c20492"</definedName>
    <definedName name="IQ_SEC_ISSUED_US_AFS_FAIR_VAL_FFIEC" hidden="1">"c20457"</definedName>
    <definedName name="IQ_SEC_RISK_WEIGHTED_100_PCT_MORE_UNDER_RATINGS_THRIFT" hidden="1">"c25071"</definedName>
    <definedName name="IQ_SEC_SOLD_UNDER_AGREEMENTS_REPURCHASE_THRIFT" hidden="1">"c25574"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COMMERCIAL_LOANS_THRIFT" hidden="1">"c24854"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FED_FUNDS_PURCHASED_TOTAL_ASSETS_THRIFT" hidden="1">"c25703"</definedName>
    <definedName name="IQ_SECURED_FEDERAL_FUNDS_PURCHASED_THRIFT" hidden="1">"c25573"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UNDERWRITING_FDIC" hidden="1">"c6529"</definedName>
    <definedName name="IQ_SECURITIZED_DEBT" hidden="1">"c17897"</definedName>
    <definedName name="IQ_SECURITIZED_DEBT_PCT" hidden="1">"c18011"</definedName>
    <definedName name="IQ_SERVICE_CHARGES_COMM_FEE_DOM_FFIEC" hidden="1">"c25821"</definedName>
    <definedName name="IQ_SERVICE_CHARGES_FDIC" hidden="1">"c6572"</definedName>
    <definedName name="IQ_SERVICING_ASSETS_MORTGAGE_LOANS_THRIFT" hidden="1">"c24888"</definedName>
    <definedName name="IQ_SERVICING_ASSETS_NON_MORTGAGE_LOANS_THRIFT" hidden="1">"c24889"</definedName>
    <definedName name="IQ_SHAREOUTSTANDING" hidden="1">"c1347"</definedName>
    <definedName name="IQ_SHORT_BUSINESS_DESCRIPTION" hidden="1">"c24668"</definedName>
    <definedName name="IQ_SHORT_TERM_INV_SHORT_TERM_NONCORE_FUNDING_THRIFT" hidden="1">"c25625"</definedName>
    <definedName name="IQ_SHORT_TERM_INV_TOTAL_ASSETS_THRIFT" hidden="1">"c25695"</definedName>
    <definedName name="IQ_SP_QUALITY_RANKING_DESCRIPTION" hidden="1">"c17410"</definedName>
    <definedName name="IQ_SP_QUALITY_RANKING_VALUE" hidden="1">"c17409"</definedName>
    <definedName name="IQ_SP_STARS_DESCRIPTION" hidden="1">"c17408"</definedName>
    <definedName name="IQ_SP_STARS_VALUE" hidden="1">"c17407"</definedName>
    <definedName name="IQ_SPECIAL_DIV_CF_CM" hidden="1">"c1171"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UNSECURED_BONDS_NOTES" hidden="1">"c17891"</definedName>
    <definedName name="IQ_SR_UNSECURED_BONDS_NOTES_PCT" hidden="1">"c18005"</definedName>
    <definedName name="IQ_ST_DEBT_CM" hidden="1">"c1178"</definedName>
    <definedName name="IQ_ST_DEBT_DERIVATIVES" hidden="1">"c17741"</definedName>
    <definedName name="IQ_ST_DEBT_ISSUED_CM" hidden="1">"c1183"</definedName>
    <definedName name="IQ_ST_DEBT_REPAID_CM" hidden="1">"c1191"</definedName>
    <definedName name="IQ_STANDBY_LETTERS_CREDIT_THRIFT" hidden="1">"c25614"</definedName>
    <definedName name="IQ_STATE_COUNTY_MUNICIPAL_OBLIGATIONS_ALL_OTHER_ACCOUNTS_THRIFT" hidden="1">"c25426"</definedName>
    <definedName name="IQ_STATE_COUNTY_MUNICIPAL_OBLIGATIONS_EMPLOYEE_BENEFIT_RETIREMENT_RELATED_ACCOUNTS_THRIFT" hidden="1">"c25410"</definedName>
    <definedName name="IQ_STATE_COUNTY_MUNICIPAL_OBLIGATIONS_PERSONAL_TRUST_AGENCY_INV_MANAGEMENT_ACCOUNTS_THRIFT" hidden="1">"c25394"</definedName>
    <definedName name="IQ_STATE_LOCAL_OTHER_INC_TAXES_THRIFT" hidden="1">"c24817"</definedName>
    <definedName name="IQ_STATE_LOCAL_REVENUE_BONDS_ELIGIBLE_50_PCT_RISK_WEIGHT_THRIFT" hidden="1">"c25067"</definedName>
    <definedName name="IQ_STATE_MUNI_OBLIGATIONS_THRIFT" hidden="1">"c24824"</definedName>
    <definedName name="IQ_STATE_OF_INC" hidden="1">"c18104"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OCK_ISSUED_SAVINGS_ASSOCIATION_THRIFT" hidden="1">"c25012"</definedName>
    <definedName name="IQ_STOCK_MARKET_INDEX" hidden="1">"c21101"</definedName>
    <definedName name="IQ_STOCK_RETIRED_SAVINGS_ASSOCIATION_THRIFT" hidden="1">"c25013"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DEBENTURES_THRIFT" hidden="1">"c24902"</definedName>
    <definedName name="IQ_SUB_DEBT_FDIC" hidden="1">"c6346"</definedName>
    <definedName name="IQ_SUBORDINATED_DEBENTURES_AMOUNTS_NETTED_THRIFT" hidden="1">"c25540"</definedName>
    <definedName name="IQ_SUBORDINATED_DEBENTURES_LEVEL_1_THRIFT" hidden="1">"c25536"</definedName>
    <definedName name="IQ_SUBORDINATED_DEBENTURES_LEVEL_2_THRIFT" hidden="1">"c25537"</definedName>
    <definedName name="IQ_SUBORDINATED_DEBENTURES_LEVEL_3_THRIFT" hidden="1">"c25538"</definedName>
    <definedName name="IQ_SUBORDINATED_DEBENTURES_TOTAL_AFTER_NETTING_THRIFT" hidden="1">"c25541"</definedName>
    <definedName name="IQ_SUBORDINATED_DEBENTURES_TOTAL_BEFORE_NETTING_THRIFT" hidden="1">"c25539"</definedName>
    <definedName name="IQ_SUBORDINATED_DEBENTURES_WITH_REMAINING_MATURITY_ONE_YEAR_LESS_THRIFT" hidden="1">"c25577"</definedName>
    <definedName name="IQ_SUBORDINATED_DEBENTURES_WITH_REMAINING_MATURITY_OVER_ONE_YEAR_THRIFT" hidden="1">"c25578"</definedName>
    <definedName name="IQ_SURPLUS_FDIC" hidden="1">"c6351"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TANGIBLE_ASSETS_THRIFT" hidden="1">"c25088"</definedName>
    <definedName name="IQ_TANGIBLE_COMMON_EQUITY_THRIFT" hidden="1">"c25086"</definedName>
    <definedName name="IQ_TANGIBLE_EQUITY_RATIO_THRIFT" hidden="1">"c25084"</definedName>
    <definedName name="IQ_TANGIBLE_EQUITY_THRIFT" hidden="1">"c25087"</definedName>
    <definedName name="IQ_TANGIBLE_TIER_1_LEVERAGE_RATIO_THRIFT" hidden="1">"c25631"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EV_EBITDA_CAPEX" hidden="1">"c17553"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RATIO_THRIFT" hidden="1">"c25081"</definedName>
    <definedName name="IQ_TIER_1_CAPITAL_REQUIREMENT_ADJUSTED_ASSETS_THRIFT" hidden="1">"c25039"</definedName>
    <definedName name="IQ_TIER_1_CAPITAL_T1_THRIFT" hidden="1">"c25029"</definedName>
    <definedName name="IQ_TIER_1_RISK_BASED_CAPITAL_RATIO_FDIC" hidden="1">"c6746"</definedName>
    <definedName name="IQ_TIER_1_RISK_BASED_CAPITAL_RATIO_THRIFT" hidden="1">"c25083"</definedName>
    <definedName name="IQ_TIER_2_CAPITAL_T2_THRIFT" hidden="1">"c25045"</definedName>
    <definedName name="IQ_TIER_ONE_FDIC" hidden="1">"c6369"</definedName>
    <definedName name="IQ_TIME_DEPOSITS_100000_MORE_TOTAL_ASSETS_THRIFT" hidden="1">"c25701"</definedName>
    <definedName name="IQ_TIME_DEPOSITS_100000_THROUGH_250000_THRIFT" hidden="1">"c25002"</definedName>
    <definedName name="IQ_TIME_DEPOSITS_GREATER_100000_TOTAL_DEPOSITS_THRIFT" hidden="1">"c25779"</definedName>
    <definedName name="IQ_TIME_DEPOSITS_GREATER_THAN_250000_THRIFT" hidden="1">"c25003"</definedName>
    <definedName name="IQ_TIME_DEPOSITS_LESS_THAN_100K_FDIC" hidden="1">"c6465"</definedName>
    <definedName name="IQ_TIME_DEPOSITS_MORE_THAN_100K_FDIC" hidden="1">"c6470"</definedName>
    <definedName name="IQ_TIME_DEPOSITS_THRIFT" hidden="1">"c25001"</definedName>
    <definedName name="IQ_TODAY" hidden="1">0</definedName>
    <definedName name="IQ_TOTAL_1_4_FAMILY_LOANS_TOTAL_LOANS_THRIFT" hidden="1">"c25741"</definedName>
    <definedName name="IQ_TOTAL_ALLOWABLE_EXCLUSIONS_THRIFT" hidden="1">"c25567"</definedName>
    <definedName name="IQ_TOTAL_AR_CM" hidden="1">"c1231"</definedName>
    <definedName name="IQ_TOTAL_ASSETS_ADJUSTED_ASSETS_THRIFT" hidden="1">"c25030"</definedName>
    <definedName name="IQ_TOTAL_ASSETS_FDIC" hidden="1">"c6339"</definedName>
    <definedName name="IQ_TOTAL_ASSETS_MANAGED_PROP_MUTUAL_FUNDS_ANNUITIES_THRIFT" hidden="1">"c24941"</definedName>
    <definedName name="IQ_TOTAL_ASSETS_MEASURED_FV_RECURRING_BASIS_AMOUNTS_NETTED_THRIFT" hidden="1">"c25522"</definedName>
    <definedName name="IQ_TOTAL_ASSETS_MEASURED_FV_RECURRING_BASIS_LEVEL_1_THRIFT" hidden="1">"c25518"</definedName>
    <definedName name="IQ_TOTAL_ASSETS_MEASURED_FV_RECURRING_BASIS_LEVEL_2_THRIFT" hidden="1">"c25519"</definedName>
    <definedName name="IQ_TOTAL_ASSETS_MEASURED_FV_RECURRING_BASIS_LEVEL_3_THRIFT" hidden="1">"c25520"</definedName>
    <definedName name="IQ_TOTAL_ASSETS_MEASURED_FV_RECURRING_BASIS_TOTAL_AFTER_NETTING_THRIFT" hidden="1">"c25523"</definedName>
    <definedName name="IQ_TOTAL_ASSETS_MEASURED_FV_RECURRING_BASIS_TOTAL_BEFORE_NETTING_THRIFT" hidden="1">"c25521"</definedName>
    <definedName name="IQ_TOTAL_ASSETS_THRIFT" hidden="1">"c24894"</definedName>
    <definedName name="IQ_TOTAL_BORROWINGS_THRIFT" hidden="1">"c24899"</definedName>
    <definedName name="IQ_TOTAL_BROKER_ORIGINATED_DEPOSITS_FULLY_INSURED_THRIFT" hidden="1">"c24978"</definedName>
    <definedName name="IQ_TOTAL_BROKER_ORIGINATED_DEPOSITS_OTHER_THRIFT" hidden="1">"c24981"</definedName>
    <definedName name="IQ_TOTAL_CASH_DEPOSITS_INV_SEC_THRIFT" hidden="1">"c24828"</definedName>
    <definedName name="IQ_TOTAL_CHARGE_OFFS_FDIC" hidden="1">"c6603"</definedName>
    <definedName name="IQ_TOTAL_COMMON_EQUITY_THRIFT" hidden="1">"c25085"</definedName>
    <definedName name="IQ_TOTAL_COMMON_EQUITY_TOTAL_ASSETS_THRIFT" hidden="1">"c25739"</definedName>
    <definedName name="IQ_TOTAL_DAILY_AVERAGE_ALLOWABLE_EXCLUSIONS_THRIFT" hidden="1">"c25580"</definedName>
    <definedName name="IQ_TOTAL_DAILY_AVERAGE_FOREIGN_DEPOSITS_THRIFT" hidden="1">"c25581"</definedName>
    <definedName name="IQ_TOTAL_DAILY_AVERAGE_GROSS_DEPOSIT_LIABILITIES_BEFORE_EXCLUSIONS_THRIFT" hidden="1">"c25579"</definedName>
    <definedName name="IQ_TOTAL_DEBT_ISSUED_CM" hidden="1">"c1253"</definedName>
    <definedName name="IQ_TOTAL_DEBT_REPAID_CM" hidden="1">"c1260"</definedName>
    <definedName name="IQ_TOTAL_DEBT_SECURITIES_FDIC" hidden="1">"c6410"</definedName>
    <definedName name="IQ_TOTAL_DEPOSITS_FDIC" hidden="1">"c6342"</definedName>
    <definedName name="IQ_TOTAL_DEPOSITS_THRIFT" hidden="1">"c24984"</definedName>
    <definedName name="IQ_TOTAL_DIVIDEND_INCOME_THRIFT" hidden="1">"c24756"</definedName>
    <definedName name="IQ_TOTAL_EARNING_ASSETS_QUARTERLY_AVG_FFIEC" hidden="1">"c25823"</definedName>
    <definedName name="IQ_TOTAL_ELIGIBLE_0_PCT_RISK_WEIGHT_THRIFT" hidden="1">"c25050"</definedName>
    <definedName name="IQ_TOTAL_ELIGIBLE_100_PCT_RISK_WEIGHT_THRIFT" hidden="1">"c25070"</definedName>
    <definedName name="IQ_TOTAL_ELIGIBLE_20_PCT_RISK_WEIGHT_THRIFT" hidden="1">"c25056"</definedName>
    <definedName name="IQ_TOTAL_ELIGIBLE_50_PCT_RISK_WEIGHT_THRIFT" hidden="1">"c25063"</definedName>
    <definedName name="IQ_TOTAL_EMPLOYEES_FDIC" hidden="1">"c6355"</definedName>
    <definedName name="IQ_TOTAL_EQUITY_CAPITAL_INC_MINORITY_INT_THRIFT" hidden="1">"c24927"</definedName>
    <definedName name="IQ_TOTAL_EQUITY_CAPITAL_T1_THRIFT" hidden="1">"c25021"</definedName>
    <definedName name="IQ_TOTAL_EQUITY_CAPITAL_THRIFT" hidden="1">"c24925"</definedName>
    <definedName name="IQ_TOTAL_EQUITY_INV_NOT_CARRIED_FV_THRIFT" hidden="1">"c24879"</definedName>
    <definedName name="IQ_TOTAL_EQUITY_TOTAL_ASSETS_THRIFT" hidden="1">"c25738"</definedName>
    <definedName name="IQ_TOTAL_FIDUCIARY_ACCOUNTS_MANAGED_ASSETS_THRIFT" hidden="1">"c25346"</definedName>
    <definedName name="IQ_TOTAL_FIDUCIARY_ACCOUNTS_NONMANAGED_ASSETS_THRIFT" hidden="1">"c25367"</definedName>
    <definedName name="IQ_TOTAL_FIDUCIARY_ACCOUNTS_NUMBER_MANAGED_ACCOUNTS_THRIFT" hidden="1">"c25357"</definedName>
    <definedName name="IQ_TOTAL_FIDUCIARY_ACCOUNTS_NUMBER_NONMANAGED_ACCOUNTS_THRIFT" hidden="1">"c25379"</definedName>
    <definedName name="IQ_TOTAL_FOREIGN_DEPOSITS_INCLUDED_IN_TOTAL_ALLOWABLE_EXCLUSIONS_THRIFT" hidden="1">"c25568"</definedName>
    <definedName name="IQ_TOTAL_GROSS_DEPOSIT_LIABILITIES_BEFORE_EXCLUSIONS_THRIFT" hidden="1">"c25566"</definedName>
    <definedName name="IQ_TOTAL_GROSS_FIDUCIARY_RELATED_SERVICES_INC_THRIFT" hidden="1">"c24811"</definedName>
    <definedName name="IQ_TOTAL_GROSS_LOSSES_MANAGED_ACCOUNTS_THRIFT" hidden="1">"c25465"</definedName>
    <definedName name="IQ_TOTAL_GROSS_LOSSES_NONMANAGED_ACCOUNTS_THRIFT" hidden="1">"c25470"</definedName>
    <definedName name="IQ_TOTAL_INT_EXP_THRIFT" hidden="1">"c24764"</definedName>
    <definedName name="IQ_TOTAL_INT_INCOME_THRIFT" hidden="1">"c24753"</definedName>
    <definedName name="IQ_TOTAL_LEASES_TOTAL_LOANS_THRIFT" hidden="1">"c25751"</definedName>
    <definedName name="IQ_TOTAL_LIAB_CM" hidden="1">"c1278"</definedName>
    <definedName name="IQ_TOTAL_LIAB_EQUITY_FDIC" hidden="1">"c6354"</definedName>
    <definedName name="IQ_TOTAL_LIABILITIES_EQUITY_THRIFT" hidden="1">"c24928"</definedName>
    <definedName name="IQ_TOTAL_LIABILITIES_FDIC" hidden="1">"c6348"</definedName>
    <definedName name="IQ_TOTAL_LIABILITIES_MEASURED_FV_RECURRING_BASIS_AMOUNTS_NETTED_THRIFT" hidden="1">"c25564"</definedName>
    <definedName name="IQ_TOTAL_LIABILITIES_MEASURED_FV_RECURRING_BASIS_LEVEL_1_THRIFT" hidden="1">"c25560"</definedName>
    <definedName name="IQ_TOTAL_LIABILITIES_MEASURED_FV_RECURRING_BASIS_LEVEL_2_THRIFT" hidden="1">"c25561"</definedName>
    <definedName name="IQ_TOTAL_LIABILITIES_MEASURED_FV_RECURRING_BASIS_LEVEL_3_THRIFT" hidden="1">"c25562"</definedName>
    <definedName name="IQ_TOTAL_LIABILITIES_MEASURED_FV_RECURRING_BASIS_TOTAL_AFTER_NETTING_THRIFT" hidden="1">"c25565"</definedName>
    <definedName name="IQ_TOTAL_LIABILITIES_MEASURED_FV_RECURRING_BASIS_TOTAL_BEFORE_NETTING_THRIFT" hidden="1">"c25563"</definedName>
    <definedName name="IQ_TOTAL_LIABILITIES_THRIFT" hidden="1">"c24913"</definedName>
    <definedName name="IQ_TOTAL_LL_DOMESTIC_QUARTERLY_AVG_FFIEC" hidden="1">"c25825"</definedName>
    <definedName name="IQ_TOTAL_LL_FOREIGN_QUARTERLY_AVG_FFIEC" hidden="1">"c25824"</definedName>
    <definedName name="IQ_TOTAL_LOANS_IN_PROCESS_FORECLOSURE_THRIFT" hidden="1">"c25310"</definedName>
    <definedName name="IQ_TOTAL_MANAGED_ASSETS_ALL_OTHER_ACCOUNTS_THRIFT" hidden="1">"c25422"</definedName>
    <definedName name="IQ_TOTAL_MANAGED_ASSETS_EMPLOYEE_BENEFIT_RETIREMENT_RELATED_ACCOUNTS_THRIFT" hidden="1">"c25406"</definedName>
    <definedName name="IQ_TOTAL_MANAGED_ASSETS_PERSONAL_TRUST_AGENCY_INV_MANAGEMENT_ACCOUNTS_THRIFT" hidden="1">"c25390"</definedName>
    <definedName name="IQ_TOTAL_MBS_THRIFT" hidden="1">"c24837"</definedName>
    <definedName name="IQ_TOTAL_MORTGAGE_LOANS_THRIFT" hidden="1">"c24852"</definedName>
    <definedName name="IQ_TOTAL_MORTGAGE_NON_MORTGAGE_LOANS_DUE_30_89_THRIFT" hidden="1">"c25255"</definedName>
    <definedName name="IQ_TOTAL_MORTGAGE_NON_MORTGAGE_LOANS_DUE_90_THRIFT" hidden="1">"c25276"</definedName>
    <definedName name="IQ_TOTAL_MORTGAGE_NON_MORTGAGE_LOANS_NON_ACCRUAL_THRIFT" hidden="1">"c25297"</definedName>
    <definedName name="IQ_TOTAL_NON_MORTGAGE_LOANS_THRIFT" hidden="1">"c24868"</definedName>
    <definedName name="IQ_TOTAL_NON_RE_LOANS_TOTAL_LOANS_THRIFT" hidden="1">"c25752"</definedName>
    <definedName name="IQ_TOTAL_OPER_EXP_CM" hidden="1">"c1284"</definedName>
    <definedName name="IQ_TOTAL_OTHER_ASSETS_THRIFT" hidden="1">"c24883"</definedName>
    <definedName name="IQ_TOTAL_OTHER_TEMP_IMPAIR_LOSS_FFIEC" hidden="1">"c25846"</definedName>
    <definedName name="IQ_TOTAL_OTHER_UNUSED_FFIEC" hidden="1">"c25858"</definedName>
    <definedName name="IQ_TOTAL_PRINCIPAL_AMT_ASSETS_COVERED_RECOURSE_OBLIGATIONS_DIRECT_CREDIT_SUBSTITUTES_THRIFT" hidden="1">"c25615"</definedName>
    <definedName name="IQ_TOTAL_RECOVERIES_FDIC" hidden="1">"c6622"</definedName>
    <definedName name="IQ_TOTAL_RECOVERIES_THRIFT" hidden="1">"c25475"</definedName>
    <definedName name="IQ_TOTAL_RESERVES" hidden="1">"c21102"</definedName>
    <definedName name="IQ_TOTAL_REV_BNK_FDIC" hidden="1">"c6786"</definedName>
    <definedName name="IQ_TOTAL_REV_CM" hidden="1">"c1303"</definedName>
    <definedName name="IQ_TOTAL_REVENUE_THRIFT" hidden="1">"c24785"</definedName>
    <definedName name="IQ_TOTAL_RISK_BASED_CAPITAL_RATIO_FDIC" hidden="1">"c6747"</definedName>
    <definedName name="IQ_TOTAL_RISK_BASED_CAPITAL_RATIO_THRIFT" hidden="1">"c25082"</definedName>
    <definedName name="IQ_TOTAL_RISK_BASED_CAPITAL_REQUIREMENT_THRIFT" hidden="1">"c25080"</definedName>
    <definedName name="IQ_TOTAL_RISK_BASED_CAPITAL_THRIFT" hidden="1">"c25049"</definedName>
    <definedName name="IQ_TOTAL_RISK_WEIGHTED_ASSETS_THRIFT" hidden="1">"c25079"</definedName>
    <definedName name="IQ_TOTAL_SECURITIES_FDIC" hidden="1">"c6306"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TIME_DEPOSITS_FDIC" hidden="1">"c6497"</definedName>
    <definedName name="IQ_TOTAL_TIME_DEPOSITS_TOTAL_DEPOSITS_THRIFT" hidden="1">"c25780"</definedName>
    <definedName name="IQ_TOTAL_TIME_SAVINGS_DEPOSITS_FDIC" hidden="1">"c6498"</definedName>
    <definedName name="IQ_TOTAL_UNUSED_COMMITMENTS_FDIC" hidden="1">"c6536"</definedName>
    <definedName name="IQ_TOTAL_UNUSUAL_CM" hidden="1">"c5517"</definedName>
    <definedName name="IQ_TR_ADJ_SIZE_FINAL" hidden="1">"c16265"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CASH_CONSID_PCT_FINAL" hidden="1">"c16268"</definedName>
    <definedName name="IQ_TR_CASH_ST_INVEST_FINAL" hidden="1">"c16266"</definedName>
    <definedName name="IQ_TR_CO_NET_PROCEEDS_ISSUE" hidden="1">"c17571"</definedName>
    <definedName name="IQ_TR_DEBT_CONSID_PCT_FINAL" hidden="1">"c16274"</definedName>
    <definedName name="IQ_TR_EARNOUTS_FINAL" hidden="1">"c16262"</definedName>
    <definedName name="IQ_TR_EX_OVER_SHARES_ISSUE" hidden="1">"c17566"</definedName>
    <definedName name="IQ_TR_GROSS_PROCEEDS_ISSUE" hidden="1">"c17568"</definedName>
    <definedName name="IQ_TR_HYBRID_CONSID_PCT_FINAL" hidden="1">"c16276"</definedName>
    <definedName name="IQ_TR_IMPLIED_EQ_BV_FINAL" hidden="1">"c16255"</definedName>
    <definedName name="IQ_TR_IMPLIED_EQ_FINAL" hidden="1">"c16253"</definedName>
    <definedName name="IQ_TR_IMPLIED_EQ_NI_LTM_FINAL" hidden="1">"c16254"</definedName>
    <definedName name="IQ_TR_IMPLIED_EV_EBIT_FINAL" hidden="1">"c16252"</definedName>
    <definedName name="IQ_TR_IMPLIED_EV_EBIT_FWD" hidden="1">"c17878"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REV_FINAL" hidden="1">"c16250"</definedName>
    <definedName name="IQ_TR_IMPLIED_EV_REV_FWD" hidden="1">"c17876"</definedName>
    <definedName name="IQ_TR_IPO_TRANSACTION_ID" hidden="1">"c17554"</definedName>
    <definedName name="IQ_TR_LEAD_UNDERWRITERS" hidden="1">"c17576"</definedName>
    <definedName name="IQ_TR_NET_ASSUM_LIABILITIES_FINAL" hidden="1">"c16264"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_FINAL" hidden="1">"c16278"</definedName>
    <definedName name="IQ_TR_OTHER_CONSID_FINAL" hidden="1">"c16261"</definedName>
    <definedName name="IQ_TR_PCT_SOUGHT_ACQUIRED_FINAL" hidden="1">"c16256"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REF_CONSID_PCT_FINAL" hidden="1">"c16272"</definedName>
    <definedName name="IQ_TR_PROCEEDS_EX_OVER_ISSUE" hidden="1">"c17574"</definedName>
    <definedName name="IQ_TR_REG_OVER_SHARES_ISSUE" hidden="1">"c17565"</definedName>
    <definedName name="IQ_TR_REG_OVER_VALUE_ISSUE" hidden="1">"c17572"</definedName>
    <definedName name="IQ_TR_REMAIN_MONETARY_VALUE" hidden="1">"c18099"</definedName>
    <definedName name="IQ_TR_REMAIN_NUMBER_SHARES" hidden="1">"c18101"</definedName>
    <definedName name="IQ_TR_REMAIN_PCT_SHARES" hidden="1">"c18100"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H_NET_PROCEEDS_ISSUE" hidden="1">"c17570"</definedName>
    <definedName name="IQ_TR_SHELF_EXP_EXPIRATION_DATE" hidden="1">"c18102"</definedName>
    <definedName name="IQ_TR_SHELF_EXPIRED_DATE" hidden="1">"c18103"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OCK_CONSID_PCT_FINAL" hidden="1">"c16270"</definedName>
    <definedName name="IQ_TR_TARGET_BV_SHARE_EST" hidden="1">"c17885"</definedName>
    <definedName name="IQ_TR_TARGET_EBIT_EST" hidden="1">"c17883"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REVENUE_EST" hidden="1">"c17881"</definedName>
    <definedName name="IQ_TR_TOTAL_CASH_FINAL" hidden="1">"c16267"</definedName>
    <definedName name="IQ_TR_TOTAL_CONSID_SH_FINAL" hidden="1">"c16260"</definedName>
    <definedName name="IQ_TR_TOTAL_DEBT_FINAL" hidden="1">"c16273"</definedName>
    <definedName name="IQ_TR_TOTAL_EX_OVER_VALUE_ISSUE" hidden="1">"c17573"</definedName>
    <definedName name="IQ_TR_TOTAL_GROSS_TV_FINAL" hidden="1">"c16259"</definedName>
    <definedName name="IQ_TR_TOTAL_HYBRID_FINAL" hidden="1">"c16275"</definedName>
    <definedName name="IQ_TR_TOTAL_NET_TV_FINAL" hidden="1">"c16258"</definedName>
    <definedName name="IQ_TR_TOTAL_OPTIONS_BUYER_FINAL" hidden="1">"c16277"</definedName>
    <definedName name="IQ_TR_TOTAL_OPTIONS_FINAL" hidden="1">"c16263"</definedName>
    <definedName name="IQ_TR_TOTAL_PREFERRED_FINAL" hidden="1">"c16271"</definedName>
    <definedName name="IQ_TR_TOTAL_STOCK_FINAL" hidden="1">"c16269"</definedName>
    <definedName name="IQ_TR_UNDERWRITER_COMP_ISSUE" hidden="1">"c17569"</definedName>
    <definedName name="IQ_TR_UNDERWRITERS_OTHER" hidden="1">"c17577"</definedName>
    <definedName name="IQ_TRADE_BALANCE_USD" hidden="1">"c21103"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DING_SEC_AMOUNTS_NETTED_THRIFT" hidden="1">"c25486"</definedName>
    <definedName name="IQ_TRADING_SEC_LEVEL_1_THRIFT" hidden="1">"c25482"</definedName>
    <definedName name="IQ_TRADING_SEC_LEVEL_2_THRIFT" hidden="1">"c25483"</definedName>
    <definedName name="IQ_TRADING_SEC_LEVEL_3_THRIFT" hidden="1">"c25484"</definedName>
    <definedName name="IQ_TRADING_SEC_TOTAL_AFTER_NETTING_THRIFT" hidden="1">"c25487"</definedName>
    <definedName name="IQ_TRADING_SEC_TOTAL_BEFORE_NETTING_THRIFT" hidden="1">"c25485"</definedName>
    <definedName name="IQ_TRANSACTION_ACCOUNTS_FDIC" hidden="1">"c6544"</definedName>
    <definedName name="IQ_TRANSACTION_ACCOUNTS_INC_DEMAND_DEPOSITS_THRIFT" hidden="1">"c24998"</definedName>
    <definedName name="IQ_TRANSACTION_ACCOUNTS_TOTAL_DEPOSITS_THRIFT" hidden="1">"c25777"</definedName>
    <definedName name="IQ_TRANSFER_AGENT_REGISTRAR_PAYING_AGENT_OTHER_CORPORATE_AGENCY_NUMBER_ISSUES_THRIFT" hidden="1">"c25444"</definedName>
    <definedName name="IQ_TRANSFERS_GVA_THRIFT" hidden="1">"c25093"</definedName>
    <definedName name="IQ_TRANSFERS_SVA_THRIFT" hidden="1">"c25101"</definedName>
    <definedName name="IQ_TREASURY_OTHER_EQUITY_CM" hidden="1">"c1314"</definedName>
    <definedName name="IQ_TREASURY_STOCK_TRANSACTIONS_FDIC" hidden="1">"c6501"</definedName>
    <definedName name="IQ_TROUBLED_DEBT_RESTRUCTURED_DUE_30_89_THRIFT" hidden="1">"c25256"</definedName>
    <definedName name="IQ_TROUBLED_DEBT_RESTRUCTURED_DUE_90_THRIFT" hidden="1">"c25277"</definedName>
    <definedName name="IQ_TROUBLED_DEBT_RESTRUCTURED_NON_ACCRUAL_THRIFT" hidden="1">"c25298"</definedName>
    <definedName name="IQ_TROUBLED_DEBT_RESTRUCTURED_THRIFT" hidden="1">"c25230"</definedName>
    <definedName name="IQ_TWELVE_MONTHS_FIXED_AND_FLOATING_FDIC" hidden="1">"c6420"</definedName>
    <definedName name="IQ_TWELVE_MONTHS_MORTGAGE_PASS_THROUGHS_FDIC" hidden="1">"c6412"</definedName>
    <definedName name="IQ_UNAMORTIZED_YIELD_ADJUSTMENTS_THRIFT" hidden="1">"c24898"</definedName>
    <definedName name="IQ_UNDIVIDED_PROFITS_FDIC" hidden="1">"c6352"</definedName>
    <definedName name="IQ_UNDRAWN_SECURITIZED" hidden="1">"c17900"</definedName>
    <definedName name="IQ_UNEARN_REV_CURRENT_CM" hidden="1">"c1324"</definedName>
    <definedName name="IQ_UNEARNED_INCOME_FDIC" hidden="1">"c6324"</definedName>
    <definedName name="IQ_UNEARNED_INCOME_FOREIGN_FDIC" hidden="1">"c6385"</definedName>
    <definedName name="IQ_UNEMPLOY_RATE" hidden="1">"c21104"</definedName>
    <definedName name="IQ_UNINSURED_DEPOSITS_THRIFT" hidden="1">"c24995"</definedName>
    <definedName name="IQ_UNPROFITABLE_INSTITUTIONS_FDIC" hidden="1">"c6722"</definedName>
    <definedName name="IQ_UNREALIZED_GAINS_AFS_EQUITY_SEC_T2_THRIFT" hidden="1">"c25040"</definedName>
    <definedName name="IQ_UNSECURED_COMMERCIAL_LOANS_THRIFT" hidden="1">"c24855"</definedName>
    <definedName name="IQ_UNSECURED_FEDERAL_FUNDS_PURCHASED_THRIFT" hidden="1">"c25572"</definedName>
    <definedName name="IQ_UNSECURED_OTHER_BORROWINGS_WITH_REMAINING_MATURITY_ONE_YEAR_LESS_THRIFT" hidden="1">"c25575"</definedName>
    <definedName name="IQ_UNSECURED_OTHER_BORROWINGS_WITH_REMAINING_MATURITY_OVER_ONE_YEAR_THRIFT" hidden="1">"c25576"</definedName>
    <definedName name="IQ_UNUSED_LINES_CREDIT_COMM_LINES_THRIFT" hidden="1">"c25607"</definedName>
    <definedName name="IQ_UNUSED_LINES_CREDIT_REVOLVING_OPEN_END_LOANS_1_4_DWELLING_UNITS_THRIFT" hidden="1">"c25606"</definedName>
    <definedName name="IQ_UNUSED_LINES_CREDIT_THRIFT" hidden="1">"c25605"</definedName>
    <definedName name="IQ_UNUSED_LOAN_COMMITMENTS_FDIC" hidden="1">"c6368"</definedName>
    <definedName name="IQ_US_AGENCY_OBLIG_HTM_AMORT_COST_FFIEC" hidden="1">"c20438"</definedName>
    <definedName name="IQ_US_AGENCY_OBLIG_HTM_FAIR_VAL_FFIEC" hidden="1">"c20473"</definedName>
    <definedName name="IQ_US_AGENCY_OBLIGATIONS_AFS_AMORT_COST_FFIEC" hidden="1">"c20490"</definedName>
    <definedName name="IQ_US_AGENCY_OBLIGATIONS_AFS_FAIR_VAL_FFIEC" hidden="1">"c20455"</definedName>
    <definedName name="IQ_US_AGENCY_SPONSORED_ENTERPRISE_SEC_THRIFT" hidden="1">"c24822"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AGENCY_SPONSORED_ENTERPRISE_SEC_INV_SEC_THRIFT" hidden="1">"c25671"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URITIES_FDIC" hidden="1">"c6298"</definedName>
    <definedName name="IQ_US_TREASURY_SECURITIES_HTM_AMORT_COST_FFIEC" hidden="1">"c20437"</definedName>
    <definedName name="IQ_US_TREASURY_SECURITIES_HTM_FAIR_VAL_FFIEC" hidden="1">"c20472"</definedName>
    <definedName name="IQ_US_TREASURY_US_GOVT_AGENCY_OBLIGATIONS_ALL_OTHER_ACCOUNTS_THRIFT" hidden="1">"c25425"</definedName>
    <definedName name="IQ_US_TREASURY_US_GOVT_AGENCY_OBLIGATIONS_EMPLOYEE_BENEFIT_RETIREMENT_RELATED_ACCOUNTS_THRIFT" hidden="1">"c25409"</definedName>
    <definedName name="IQ_US_TREASURY_US_GOVT_AGENCY_OBLIGATIONS_PERSONAL_TRUST_AGENCY_INV_MANAGEMENT_ACCOUNTS_THRIFT" hidden="1">"c25393"</definedName>
    <definedName name="IQ_VALUATION_ALLOWANCES_FDIC" hidden="1">"c6400"</definedName>
    <definedName name="IQ_VALUE_CUSTOMER_ASSETS" hidden="1">"c20433"</definedName>
    <definedName name="IQ_VARIABLE_RATE_DEBT" hidden="1">"c17895"</definedName>
    <definedName name="IQ_VARIABLE_RATE_DEBT_PCT" hidden="1">"c18009"</definedName>
    <definedName name="IQ_VC_REVENUE_FDIC" hidden="1">"c6667"</definedName>
    <definedName name="IQ_VOLATILE_LIABILITIES_FDIC" hidden="1">"c6364"</definedName>
    <definedName name="IQ_WAR_TOTAL_AGG_INT_VALUE_EXER" hidden="1">"c18465"</definedName>
    <definedName name="IQ_WAR_TOTAL_AGG_INT_VALUE_OUT" hidden="1">"c18461"</definedName>
    <definedName name="IQ_WAR_TOTAL_NUM_EXER" hidden="1">"c18463"</definedName>
    <definedName name="IQ_WAR_TOTAL_NUM_OUT" hidden="1">"c18459"</definedName>
    <definedName name="IQ_WAR_TOTAL_PLAN_NAME" hidden="1">"c18469"</definedName>
    <definedName name="IQ_WAR_TOTAL_PRICE_HIGH" hidden="1">"c18456"</definedName>
    <definedName name="IQ_WAR_TOTAL_PRICE_LOW" hidden="1">"c18455"</definedName>
    <definedName name="IQ_WAR_TOTAL_PRICE_RANGE" hidden="1">"c18457"</definedName>
    <definedName name="IQ_WAR_TOTAL_WTD_LIFE_EXER" hidden="1">"c18464"</definedName>
    <definedName name="IQ_WAR_TOTAL_WTD_LIFE_OUT" hidden="1">"c18460"</definedName>
    <definedName name="IQ_WAR_TOTAL_WTD_PRICE_EXER" hidden="1">"c18462"</definedName>
    <definedName name="IQ_WAR_TOTAL_WTD_PRICE_OUT" hidden="1">"c18458"</definedName>
    <definedName name="IQ_WAR_TRANCHE_AGG_INT_VALUE_EXER" hidden="1">"c18454"</definedName>
    <definedName name="IQ_WAR_TRANCHE_AGG_INT_VALUE_OUT" hidden="1">"c18450"</definedName>
    <definedName name="IQ_WAR_TRANCHE_CLASS_NAME" hidden="1">"c18443"</definedName>
    <definedName name="IQ_WAR_TRANCHE_NUM_EXER" hidden="1">"c18452"</definedName>
    <definedName name="IQ_WAR_TRANCHE_NUM_OUT" hidden="1">"c18448"</definedName>
    <definedName name="IQ_WAR_TRANCHE_PLAN_NAME" hidden="1">"c18442"</definedName>
    <definedName name="IQ_WAR_TRANCHE_PLAN_RANK" hidden="1">"c18468"</definedName>
    <definedName name="IQ_WAR_TRANCHE_PRICE_HIGH" hidden="1">"c18445"</definedName>
    <definedName name="IQ_WAR_TRANCHE_PRICE_LOW" hidden="1">"c18444"</definedName>
    <definedName name="IQ_WAR_TRANCHE_PRICE_RANGE" hidden="1">"c18446"</definedName>
    <definedName name="IQ_WAR_TRANCHE_WTD_LIFE_EXER" hidden="1">"c18453"</definedName>
    <definedName name="IQ_WAR_TRANCHE_WTD_LIFE_OUT" hidden="1">"c18449"</definedName>
    <definedName name="IQ_WAR_TRANCHE_WTD_PRICE_EXER" hidden="1">"c18451"</definedName>
    <definedName name="IQ_WAR_TRANCHE_WTD_PRICE_OUT" hidden="1">"c18447"</definedName>
    <definedName name="IQ_WEEK" hidden="1">50000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SALES_ALCOHOL" hidden="1">"c21149"</definedName>
    <definedName name="IQ_WHOLESALE_SALES_APPAREL" hidden="1">"c21150"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TOTAL" hidden="1">"c21170"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_LIST" hidden="1">"c17416"</definedName>
    <definedName name="IQ_YIELD_CURVE_LIST" hidden="1">"c19250"</definedName>
    <definedName name="IQ_YTD" hidden="1">3000</definedName>
    <definedName name="IQ_YTDMONTH" hidden="1">130000</definedName>
    <definedName name="IQ_ZERO_COUPON_DEBT" hidden="1">"c17896"</definedName>
    <definedName name="IQ_ZERO_COUPON_DEBT_PCT" hidden="1">"c18010"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7" l="1"/>
  <c r="E23" i="7" s="1"/>
  <c r="H22" i="15"/>
  <c r="G22" i="15"/>
  <c r="H20" i="15"/>
  <c r="G20" i="15"/>
  <c r="H18" i="15"/>
  <c r="G18" i="15"/>
  <c r="M72" i="5"/>
  <c r="L72" i="5"/>
  <c r="K72" i="5"/>
  <c r="J72" i="5"/>
  <c r="I72" i="5"/>
  <c r="I70" i="5" s="1"/>
  <c r="J70" i="5" s="1"/>
  <c r="K70" i="5" s="1"/>
  <c r="L70" i="5" s="1"/>
  <c r="M70" i="5" s="1"/>
  <c r="M68" i="5"/>
  <c r="L68" i="5"/>
  <c r="K68" i="5"/>
  <c r="J68" i="5"/>
  <c r="I68" i="5"/>
  <c r="I66" i="5" s="1"/>
  <c r="J66" i="5" s="1"/>
  <c r="K66" i="5" s="1"/>
  <c r="M47" i="17"/>
  <c r="L47" i="17"/>
  <c r="K47" i="17"/>
  <c r="J47" i="17"/>
  <c r="I47" i="17"/>
  <c r="I44" i="17"/>
  <c r="I43" i="17"/>
  <c r="M37" i="17"/>
  <c r="L37" i="17"/>
  <c r="K37" i="17"/>
  <c r="J37" i="17"/>
  <c r="I37" i="17"/>
  <c r="M20" i="17"/>
  <c r="L20" i="17"/>
  <c r="K20" i="17"/>
  <c r="J20" i="17"/>
  <c r="I20" i="17"/>
  <c r="I34" i="17"/>
  <c r="I33" i="17"/>
  <c r="L66" i="5" l="1"/>
  <c r="M66" i="5" s="1"/>
  <c r="I52" i="17"/>
  <c r="J10" i="17" l="1"/>
  <c r="C7" i="17"/>
  <c r="C6" i="17"/>
  <c r="M27" i="17"/>
  <c r="L27" i="17"/>
  <c r="K27" i="17"/>
  <c r="J27" i="17"/>
  <c r="I27" i="17"/>
  <c r="I24" i="17"/>
  <c r="M11" i="17"/>
  <c r="M12" i="17" s="1"/>
  <c r="L11" i="17"/>
  <c r="L12" i="17" s="1"/>
  <c r="K11" i="17"/>
  <c r="K12" i="17" s="1"/>
  <c r="J11" i="17"/>
  <c r="J12" i="17" s="1"/>
  <c r="I11" i="17"/>
  <c r="I12" i="17" s="1"/>
  <c r="H11" i="17"/>
  <c r="H12" i="17" s="1"/>
  <c r="G11" i="17"/>
  <c r="G12" i="17" s="1"/>
  <c r="F11" i="17"/>
  <c r="F12" i="17" s="1"/>
  <c r="M24" i="16"/>
  <c r="L24" i="16"/>
  <c r="K24" i="16"/>
  <c r="J24" i="16"/>
  <c r="I24" i="16"/>
  <c r="H24" i="16"/>
  <c r="H22" i="16"/>
  <c r="G22" i="16"/>
  <c r="F22" i="16"/>
  <c r="H21" i="16"/>
  <c r="G21" i="16"/>
  <c r="F21" i="16"/>
  <c r="M6" i="16"/>
  <c r="M7" i="16" s="1"/>
  <c r="L6" i="16"/>
  <c r="L7" i="16" s="1"/>
  <c r="K6" i="16"/>
  <c r="K7" i="16" s="1"/>
  <c r="J6" i="16"/>
  <c r="J7" i="16" s="1"/>
  <c r="I6" i="16"/>
  <c r="I7" i="16" s="1"/>
  <c r="H6" i="16"/>
  <c r="H7" i="16" s="1"/>
  <c r="G6" i="16"/>
  <c r="G7" i="16" s="1"/>
  <c r="F6" i="16"/>
  <c r="F7" i="16" s="1"/>
  <c r="M6" i="15"/>
  <c r="M7" i="15" s="1"/>
  <c r="L6" i="15"/>
  <c r="L7" i="15" s="1"/>
  <c r="K6" i="15"/>
  <c r="K7" i="15" s="1"/>
  <c r="J6" i="15"/>
  <c r="J7" i="15" s="1"/>
  <c r="I6" i="15"/>
  <c r="I7" i="15" s="1"/>
  <c r="H6" i="15"/>
  <c r="H7" i="15" s="1"/>
  <c r="G6" i="15"/>
  <c r="G7" i="15" s="1"/>
  <c r="F6" i="15"/>
  <c r="F7" i="15" s="1"/>
  <c r="H38" i="3"/>
  <c r="G38" i="3"/>
  <c r="F38" i="3"/>
  <c r="H35" i="3"/>
  <c r="H15" i="16" s="1"/>
  <c r="G35" i="3"/>
  <c r="G15" i="16" s="1"/>
  <c r="F35" i="3"/>
  <c r="F15" i="16" s="1"/>
  <c r="H34" i="3"/>
  <c r="G34" i="3"/>
  <c r="F34" i="3"/>
  <c r="H23" i="3"/>
  <c r="G23" i="3"/>
  <c r="H22" i="3"/>
  <c r="G22" i="3"/>
  <c r="H21" i="3"/>
  <c r="G21" i="3"/>
  <c r="F23" i="3"/>
  <c r="F22" i="3"/>
  <c r="F21" i="3"/>
  <c r="H17" i="3"/>
  <c r="G17" i="3"/>
  <c r="H16" i="3"/>
  <c r="G16" i="3"/>
  <c r="H15" i="3"/>
  <c r="G15" i="3"/>
  <c r="F17" i="3"/>
  <c r="F16" i="3"/>
  <c r="F15" i="3"/>
  <c r="M6" i="3"/>
  <c r="M7" i="3" s="1"/>
  <c r="B31" i="16" s="1"/>
  <c r="L6" i="3"/>
  <c r="L7" i="3" s="1"/>
  <c r="B30" i="16" s="1"/>
  <c r="K6" i="3"/>
  <c r="J6" i="3"/>
  <c r="I6" i="3"/>
  <c r="I7" i="3" s="1"/>
  <c r="B27" i="16" s="1"/>
  <c r="H6" i="3"/>
  <c r="H7" i="3" s="1"/>
  <c r="G6" i="3"/>
  <c r="G7" i="3" s="1"/>
  <c r="F6" i="3"/>
  <c r="F7" i="3" s="1"/>
  <c r="G66" i="3"/>
  <c r="F66" i="3"/>
  <c r="G60" i="3"/>
  <c r="F60" i="3"/>
  <c r="G58" i="3"/>
  <c r="F58" i="3"/>
  <c r="G57" i="3"/>
  <c r="F57" i="3"/>
  <c r="F22" i="15" s="1"/>
  <c r="G51" i="3"/>
  <c r="F51" i="3"/>
  <c r="G48" i="3"/>
  <c r="F48" i="3"/>
  <c r="F20" i="15" s="1"/>
  <c r="G47" i="3"/>
  <c r="F47" i="3"/>
  <c r="F18" i="15" s="1"/>
  <c r="G46" i="3"/>
  <c r="F46" i="3"/>
  <c r="E25" i="7"/>
  <c r="F10" i="4"/>
  <c r="F14" i="4" s="1"/>
  <c r="G10" i="4"/>
  <c r="G14" i="4" s="1"/>
  <c r="H10" i="4"/>
  <c r="H14" i="4" s="1"/>
  <c r="G51" i="7"/>
  <c r="H51" i="7" s="1"/>
  <c r="G49" i="7"/>
  <c r="G45" i="7"/>
  <c r="H45" i="7" s="1"/>
  <c r="J45" i="7" s="1"/>
  <c r="H60" i="3" s="1"/>
  <c r="I60" i="3" s="1"/>
  <c r="J60" i="3" s="1"/>
  <c r="K60" i="3" s="1"/>
  <c r="L60" i="3" s="1"/>
  <c r="M60" i="3" s="1"/>
  <c r="G43" i="7"/>
  <c r="J43" i="7" s="1"/>
  <c r="H58" i="3" s="1"/>
  <c r="I58" i="3" s="1"/>
  <c r="J58" i="3" s="1"/>
  <c r="K58" i="3" s="1"/>
  <c r="L58" i="3" s="1"/>
  <c r="M58" i="3" s="1"/>
  <c r="G42" i="7"/>
  <c r="G36" i="7"/>
  <c r="J36" i="7" s="1"/>
  <c r="H51" i="3" s="1"/>
  <c r="G33" i="7"/>
  <c r="J33" i="7" s="1"/>
  <c r="H48" i="3" s="1"/>
  <c r="G32" i="7"/>
  <c r="J32" i="7" s="1"/>
  <c r="G31" i="7"/>
  <c r="I31" i="7" s="1"/>
  <c r="J30" i="7"/>
  <c r="G30" i="7"/>
  <c r="J50" i="7"/>
  <c r="J41" i="7"/>
  <c r="H56" i="3" s="1"/>
  <c r="B33" i="7"/>
  <c r="B32" i="7"/>
  <c r="B31" i="7"/>
  <c r="G23" i="16" l="1"/>
  <c r="G14" i="16" s="1"/>
  <c r="G17" i="16" s="1"/>
  <c r="F23" i="16"/>
  <c r="F14" i="16" s="1"/>
  <c r="F16" i="16" s="1"/>
  <c r="G13" i="16" s="1"/>
  <c r="H23" i="16"/>
  <c r="H14" i="16" s="1"/>
  <c r="H17" i="16" s="1"/>
  <c r="J44" i="17"/>
  <c r="J43" i="17"/>
  <c r="K10" i="17"/>
  <c r="J34" i="17"/>
  <c r="J33" i="17"/>
  <c r="H47" i="3"/>
  <c r="F24" i="15"/>
  <c r="F50" i="3"/>
  <c r="F53" i="3" s="1"/>
  <c r="G50" i="3"/>
  <c r="G53" i="3" s="1"/>
  <c r="J7" i="3"/>
  <c r="B28" i="16" s="1"/>
  <c r="K7" i="3"/>
  <c r="B29" i="16" s="1"/>
  <c r="F59" i="3"/>
  <c r="F63" i="3" s="1"/>
  <c r="G59" i="3"/>
  <c r="G63" i="3" s="1"/>
  <c r="E22" i="7"/>
  <c r="G52" i="7"/>
  <c r="E24" i="7" s="1"/>
  <c r="G44" i="7"/>
  <c r="G48" i="7" s="1"/>
  <c r="G35" i="7"/>
  <c r="G38" i="7" s="1"/>
  <c r="H49" i="7"/>
  <c r="J49" i="7" s="1"/>
  <c r="J42" i="7"/>
  <c r="G16" i="16" l="1"/>
  <c r="H13" i="16" s="1"/>
  <c r="H36" i="16" s="1"/>
  <c r="H37" i="16" s="1"/>
  <c r="H38" i="16" s="1"/>
  <c r="I36" i="16" s="1"/>
  <c r="F17" i="16"/>
  <c r="J52" i="17"/>
  <c r="K44" i="17"/>
  <c r="K43" i="17"/>
  <c r="L10" i="17"/>
  <c r="K34" i="17"/>
  <c r="K33" i="17"/>
  <c r="H64" i="3"/>
  <c r="I64" i="3" s="1"/>
  <c r="J44" i="7"/>
  <c r="H57" i="3"/>
  <c r="G53" i="7"/>
  <c r="G54" i="7" s="1"/>
  <c r="H16" i="16" l="1"/>
  <c r="I13" i="16" s="1"/>
  <c r="K52" i="17"/>
  <c r="L43" i="17"/>
  <c r="L44" i="17"/>
  <c r="M10" i="17"/>
  <c r="L33" i="17"/>
  <c r="L34" i="17"/>
  <c r="H59" i="3"/>
  <c r="I37" i="16"/>
  <c r="I38" i="16" s="1"/>
  <c r="J36" i="16" s="1"/>
  <c r="L52" i="17" l="1"/>
  <c r="G24" i="15"/>
  <c r="H24" i="15"/>
  <c r="J37" i="16"/>
  <c r="J38" i="16" s="1"/>
  <c r="K36" i="16" s="1"/>
  <c r="H26" i="15" l="1"/>
  <c r="G26" i="15"/>
  <c r="K37" i="16"/>
  <c r="K38" i="16" s="1"/>
  <c r="L36" i="16" s="1"/>
  <c r="L37" i="16" l="1"/>
  <c r="L38" i="16" l="1"/>
  <c r="M36" i="16" s="1"/>
  <c r="M37" i="16" s="1"/>
  <c r="M38" i="16" l="1"/>
  <c r="M7" i="7" l="1"/>
  <c r="H31" i="7" s="1"/>
  <c r="J31" i="7" s="1"/>
  <c r="M124" i="5"/>
  <c r="L124" i="5"/>
  <c r="K124" i="5"/>
  <c r="J124" i="5"/>
  <c r="I124" i="5"/>
  <c r="M123" i="5"/>
  <c r="L123" i="5"/>
  <c r="K123" i="5"/>
  <c r="J123" i="5"/>
  <c r="I123" i="5"/>
  <c r="M122" i="5"/>
  <c r="L122" i="5"/>
  <c r="K122" i="5"/>
  <c r="J122" i="5"/>
  <c r="I122" i="5"/>
  <c r="I121" i="5"/>
  <c r="H112" i="5"/>
  <c r="G112" i="5"/>
  <c r="F112" i="5"/>
  <c r="M116" i="5"/>
  <c r="L116" i="5"/>
  <c r="K116" i="5"/>
  <c r="J116" i="5"/>
  <c r="I116" i="5"/>
  <c r="H108" i="5"/>
  <c r="I108" i="5" s="1"/>
  <c r="I23" i="15" s="1"/>
  <c r="G108" i="5"/>
  <c r="F108" i="5"/>
  <c r="H107" i="5"/>
  <c r="I107" i="5" s="1"/>
  <c r="I21" i="15" s="1"/>
  <c r="H106" i="5"/>
  <c r="I106" i="5" s="1"/>
  <c r="I19" i="15" s="1"/>
  <c r="G107" i="5"/>
  <c r="G106" i="5"/>
  <c r="F107" i="5"/>
  <c r="F106" i="5"/>
  <c r="M37" i="5"/>
  <c r="L37" i="5"/>
  <c r="K37" i="5"/>
  <c r="J37" i="5"/>
  <c r="I37" i="5"/>
  <c r="M91" i="5"/>
  <c r="L91" i="5"/>
  <c r="K91" i="5"/>
  <c r="J91" i="5"/>
  <c r="I91" i="5"/>
  <c r="M87" i="5"/>
  <c r="L87" i="5"/>
  <c r="K87" i="5"/>
  <c r="J87" i="5"/>
  <c r="I87" i="5"/>
  <c r="I86" i="5" s="1"/>
  <c r="I82" i="5"/>
  <c r="J82" i="5" s="1"/>
  <c r="M80" i="5"/>
  <c r="L80" i="5"/>
  <c r="K80" i="5"/>
  <c r="J80" i="5"/>
  <c r="I80" i="5"/>
  <c r="H79" i="5"/>
  <c r="G79" i="5"/>
  <c r="F79" i="5"/>
  <c r="F75" i="5"/>
  <c r="F27" i="3" s="1"/>
  <c r="M60" i="5"/>
  <c r="L60" i="5"/>
  <c r="K60" i="5"/>
  <c r="J60" i="5"/>
  <c r="I60" i="5"/>
  <c r="M17" i="5"/>
  <c r="L17" i="5"/>
  <c r="K17" i="5"/>
  <c r="J17" i="5"/>
  <c r="I17" i="5"/>
  <c r="M64" i="5"/>
  <c r="L64" i="5"/>
  <c r="K64" i="5"/>
  <c r="J64" i="5"/>
  <c r="I64" i="5"/>
  <c r="I62" i="5" s="1"/>
  <c r="H59" i="5"/>
  <c r="H56" i="5" s="1"/>
  <c r="H26" i="3" s="1"/>
  <c r="G59" i="5"/>
  <c r="G56" i="5" s="1"/>
  <c r="G26" i="3" s="1"/>
  <c r="F59" i="5"/>
  <c r="F56" i="5" s="1"/>
  <c r="F26" i="3" s="1"/>
  <c r="H90" i="5"/>
  <c r="H28" i="3" s="1"/>
  <c r="G90" i="5"/>
  <c r="G28" i="3" s="1"/>
  <c r="F90" i="5"/>
  <c r="F28" i="3" s="1"/>
  <c r="H75" i="5"/>
  <c r="H27" i="3" s="1"/>
  <c r="G75" i="5"/>
  <c r="G27" i="3" s="1"/>
  <c r="M21" i="5"/>
  <c r="L21" i="5"/>
  <c r="M49" i="5"/>
  <c r="L49" i="5"/>
  <c r="K49" i="5"/>
  <c r="J49" i="5"/>
  <c r="I49" i="5"/>
  <c r="I48" i="5" s="1"/>
  <c r="M45" i="5"/>
  <c r="L45" i="5"/>
  <c r="K45" i="5"/>
  <c r="J45" i="5"/>
  <c r="I45" i="5"/>
  <c r="I44" i="5" s="1"/>
  <c r="I41" i="5"/>
  <c r="I40" i="5" s="1"/>
  <c r="M41" i="5"/>
  <c r="L41" i="5"/>
  <c r="K41" i="5"/>
  <c r="J41" i="5"/>
  <c r="H35" i="5"/>
  <c r="H20" i="3" s="1"/>
  <c r="H18" i="3" s="1"/>
  <c r="G35" i="5"/>
  <c r="G20" i="3" s="1"/>
  <c r="G18" i="3" s="1"/>
  <c r="F35" i="5"/>
  <c r="F20" i="3" s="1"/>
  <c r="F18" i="3" s="1"/>
  <c r="F14" i="15" s="1"/>
  <c r="M29" i="5"/>
  <c r="L29" i="5"/>
  <c r="K29" i="5"/>
  <c r="J29" i="5"/>
  <c r="I29" i="5"/>
  <c r="I27" i="5" s="1"/>
  <c r="I17" i="3" s="1"/>
  <c r="M25" i="5"/>
  <c r="L25" i="5"/>
  <c r="K25" i="5"/>
  <c r="J25" i="5"/>
  <c r="I25" i="5"/>
  <c r="I23" i="5" s="1"/>
  <c r="I16" i="3" s="1"/>
  <c r="I21" i="5"/>
  <c r="I19" i="5" s="1"/>
  <c r="I15" i="3" s="1"/>
  <c r="J21" i="5"/>
  <c r="K21" i="5"/>
  <c r="J86" i="5" l="1"/>
  <c r="H29" i="3"/>
  <c r="F21" i="15"/>
  <c r="G14" i="15"/>
  <c r="G19" i="3"/>
  <c r="F29" i="3"/>
  <c r="H14" i="15"/>
  <c r="H19" i="3"/>
  <c r="G29" i="3"/>
  <c r="H15" i="15"/>
  <c r="I118" i="5"/>
  <c r="I22" i="16" s="1"/>
  <c r="J118" i="5"/>
  <c r="J22" i="16" s="1"/>
  <c r="K118" i="5"/>
  <c r="K22" i="16" s="1"/>
  <c r="L118" i="5"/>
  <c r="L22" i="16" s="1"/>
  <c r="M118" i="5"/>
  <c r="M22" i="16" s="1"/>
  <c r="H46" i="3"/>
  <c r="H96" i="3" s="1"/>
  <c r="I95" i="3" s="1"/>
  <c r="I18" i="17" s="1"/>
  <c r="J106" i="5"/>
  <c r="J19" i="15" s="1"/>
  <c r="J107" i="5"/>
  <c r="J21" i="15" s="1"/>
  <c r="J108" i="5"/>
  <c r="J23" i="15" s="1"/>
  <c r="G52" i="5"/>
  <c r="G91" i="5"/>
  <c r="I90" i="5"/>
  <c r="H52" i="5"/>
  <c r="H91" i="5"/>
  <c r="K82" i="5"/>
  <c r="J83" i="5"/>
  <c r="K86" i="5"/>
  <c r="L86" i="5" s="1"/>
  <c r="M86" i="5" s="1"/>
  <c r="G80" i="5"/>
  <c r="H80" i="5"/>
  <c r="I79" i="5"/>
  <c r="H57" i="5"/>
  <c r="G77" i="5"/>
  <c r="H77" i="5"/>
  <c r="J62" i="5"/>
  <c r="K62" i="5" s="1"/>
  <c r="L62" i="5" s="1"/>
  <c r="M62" i="5" s="1"/>
  <c r="G57" i="5"/>
  <c r="H60" i="5"/>
  <c r="G60" i="5"/>
  <c r="I59" i="5"/>
  <c r="J59" i="5" s="1"/>
  <c r="K59" i="5" s="1"/>
  <c r="L59" i="5" s="1"/>
  <c r="M59" i="5" s="1"/>
  <c r="F52" i="5"/>
  <c r="I39" i="5"/>
  <c r="I21" i="3" s="1"/>
  <c r="J40" i="5"/>
  <c r="I47" i="5"/>
  <c r="I23" i="3" s="1"/>
  <c r="J48" i="5"/>
  <c r="K48" i="5" s="1"/>
  <c r="I43" i="5"/>
  <c r="I22" i="3" s="1"/>
  <c r="J44" i="5"/>
  <c r="G32" i="5"/>
  <c r="F32" i="5"/>
  <c r="H32" i="5"/>
  <c r="J27" i="5"/>
  <c r="J17" i="3" s="1"/>
  <c r="J23" i="5"/>
  <c r="J19" i="5"/>
  <c r="G21" i="15" l="1"/>
  <c r="F15" i="15"/>
  <c r="F23" i="15" s="1"/>
  <c r="G15" i="15"/>
  <c r="G23" i="15" s="1"/>
  <c r="J90" i="5"/>
  <c r="I28" i="3"/>
  <c r="H21" i="15"/>
  <c r="H23" i="15"/>
  <c r="K23" i="5"/>
  <c r="J16" i="3"/>
  <c r="K19" i="5"/>
  <c r="J15" i="3"/>
  <c r="K106" i="5"/>
  <c r="K19" i="15" s="1"/>
  <c r="K107" i="5"/>
  <c r="K21" i="15" s="1"/>
  <c r="K108" i="5"/>
  <c r="K23" i="15" s="1"/>
  <c r="K27" i="5"/>
  <c r="K17" i="3" s="1"/>
  <c r="L82" i="5"/>
  <c r="K83" i="5"/>
  <c r="J79" i="5"/>
  <c r="I75" i="5"/>
  <c r="J56" i="5"/>
  <c r="J26" i="3" s="1"/>
  <c r="I56" i="5"/>
  <c r="K56" i="5"/>
  <c r="K26" i="3" s="1"/>
  <c r="M56" i="5"/>
  <c r="M26" i="3" s="1"/>
  <c r="L56" i="5"/>
  <c r="L26" i="3" s="1"/>
  <c r="H53" i="5"/>
  <c r="G53" i="5"/>
  <c r="L48" i="5"/>
  <c r="M48" i="5" s="1"/>
  <c r="J43" i="5"/>
  <c r="J22" i="3" s="1"/>
  <c r="K44" i="5"/>
  <c r="L44" i="5" s="1"/>
  <c r="M44" i="5" s="1"/>
  <c r="K40" i="5"/>
  <c r="J39" i="5"/>
  <c r="J21" i="3" s="1"/>
  <c r="J47" i="5"/>
  <c r="J23" i="3" s="1"/>
  <c r="K90" i="5" l="1"/>
  <c r="J28" i="3"/>
  <c r="L23" i="5"/>
  <c r="K16" i="3"/>
  <c r="I52" i="5"/>
  <c r="I26" i="3"/>
  <c r="I77" i="5"/>
  <c r="I27" i="3"/>
  <c r="L19" i="5"/>
  <c r="K15" i="3"/>
  <c r="L106" i="5"/>
  <c r="L19" i="15" s="1"/>
  <c r="L107" i="5"/>
  <c r="L21" i="15" s="1"/>
  <c r="L108" i="5"/>
  <c r="L23" i="15" s="1"/>
  <c r="L27" i="5"/>
  <c r="K47" i="5"/>
  <c r="K23" i="3" s="1"/>
  <c r="K79" i="5"/>
  <c r="J75" i="5"/>
  <c r="M82" i="5"/>
  <c r="M83" i="5" s="1"/>
  <c r="L83" i="5"/>
  <c r="J57" i="5"/>
  <c r="L57" i="5"/>
  <c r="M57" i="5"/>
  <c r="K57" i="5"/>
  <c r="I53" i="5"/>
  <c r="I57" i="5"/>
  <c r="K43" i="5"/>
  <c r="K22" i="3" s="1"/>
  <c r="L40" i="5"/>
  <c r="K39" i="5"/>
  <c r="K21" i="3" s="1"/>
  <c r="L43" i="5"/>
  <c r="L22" i="3" s="1"/>
  <c r="L90" i="5" l="1"/>
  <c r="K28" i="3"/>
  <c r="I29" i="3"/>
  <c r="I15" i="15" s="1"/>
  <c r="M23" i="5"/>
  <c r="L16" i="3"/>
  <c r="J77" i="5"/>
  <c r="J27" i="3"/>
  <c r="J29" i="3" s="1"/>
  <c r="L47" i="5"/>
  <c r="L23" i="3" s="1"/>
  <c r="L17" i="3"/>
  <c r="M19" i="5"/>
  <c r="M15" i="3" s="1"/>
  <c r="L15" i="3"/>
  <c r="M106" i="5"/>
  <c r="M19" i="15" s="1"/>
  <c r="M107" i="5"/>
  <c r="M21" i="15" s="1"/>
  <c r="M108" i="5"/>
  <c r="M23" i="15" s="1"/>
  <c r="M27" i="5"/>
  <c r="M17" i="3" s="1"/>
  <c r="J52" i="5"/>
  <c r="J53" i="5" s="1"/>
  <c r="L79" i="5"/>
  <c r="K75" i="5"/>
  <c r="M40" i="5"/>
  <c r="L39" i="5"/>
  <c r="L21" i="3" s="1"/>
  <c r="M90" i="5" l="1"/>
  <c r="M28" i="3" s="1"/>
  <c r="L28" i="3"/>
  <c r="M16" i="3"/>
  <c r="M43" i="5"/>
  <c r="M22" i="3" s="1"/>
  <c r="K52" i="5"/>
  <c r="K53" i="5" s="1"/>
  <c r="K27" i="3"/>
  <c r="K29" i="3" s="1"/>
  <c r="J15" i="15"/>
  <c r="M39" i="5"/>
  <c r="M21" i="3" s="1"/>
  <c r="M47" i="5"/>
  <c r="M23" i="3" s="1"/>
  <c r="K77" i="5"/>
  <c r="M79" i="5"/>
  <c r="M75" i="5" s="1"/>
  <c r="L75" i="5"/>
  <c r="L52" i="5" l="1"/>
  <c r="L27" i="3"/>
  <c r="L29" i="3" s="1"/>
  <c r="M52" i="5"/>
  <c r="M27" i="3"/>
  <c r="M29" i="3" s="1"/>
  <c r="K15" i="15"/>
  <c r="L77" i="5"/>
  <c r="L53" i="5"/>
  <c r="M77" i="5"/>
  <c r="M53" i="5" l="1"/>
  <c r="M15" i="15"/>
  <c r="L15" i="15"/>
  <c r="H9" i="5" l="1"/>
  <c r="H16" i="5"/>
  <c r="H14" i="3" s="1"/>
  <c r="H12" i="3" s="1"/>
  <c r="G16" i="5"/>
  <c r="G14" i="3" s="1"/>
  <c r="G12" i="3" s="1"/>
  <c r="F16" i="5"/>
  <c r="F14" i="3" s="1"/>
  <c r="F12" i="3" s="1"/>
  <c r="M9" i="5"/>
  <c r="L9" i="5"/>
  <c r="K9" i="5"/>
  <c r="J9" i="5"/>
  <c r="I9" i="5"/>
  <c r="G9" i="5"/>
  <c r="F9" i="5"/>
  <c r="F20" i="16" l="1"/>
  <c r="F13" i="15"/>
  <c r="F24" i="3"/>
  <c r="F30" i="3"/>
  <c r="G20" i="16"/>
  <c r="G24" i="3"/>
  <c r="G13" i="15"/>
  <c r="G13" i="3"/>
  <c r="G30" i="3"/>
  <c r="H20" i="16"/>
  <c r="H24" i="3"/>
  <c r="H13" i="3"/>
  <c r="H13" i="15"/>
  <c r="H30" i="3"/>
  <c r="F13" i="5"/>
  <c r="H13" i="5"/>
  <c r="I16" i="5"/>
  <c r="I14" i="3" s="1"/>
  <c r="I12" i="3" s="1"/>
  <c r="G36" i="5"/>
  <c r="G13" i="5"/>
  <c r="F36" i="5"/>
  <c r="H17" i="5"/>
  <c r="H36" i="5"/>
  <c r="I36" i="5" s="1"/>
  <c r="G17" i="5"/>
  <c r="H37" i="4"/>
  <c r="G37" i="4"/>
  <c r="F37" i="4"/>
  <c r="H32" i="4"/>
  <c r="G32" i="4"/>
  <c r="F32" i="4"/>
  <c r="F34" i="4" s="1"/>
  <c r="H25" i="4"/>
  <c r="G25" i="4"/>
  <c r="F25" i="4"/>
  <c r="H7" i="4"/>
  <c r="H20" i="4" s="1"/>
  <c r="G7" i="4"/>
  <c r="G20" i="4" s="1"/>
  <c r="F7" i="4"/>
  <c r="F20" i="4" s="1"/>
  <c r="H9" i="3" l="1"/>
  <c r="H54" i="5"/>
  <c r="G9" i="3"/>
  <c r="G54" i="5"/>
  <c r="F33" i="5"/>
  <c r="F54" i="5"/>
  <c r="I13" i="5"/>
  <c r="I54" i="5" s="1"/>
  <c r="F25" i="15"/>
  <c r="F19" i="15"/>
  <c r="H31" i="3"/>
  <c r="H25" i="3"/>
  <c r="G19" i="15"/>
  <c r="G25" i="15"/>
  <c r="G96" i="5"/>
  <c r="G119" i="5"/>
  <c r="G113" i="5"/>
  <c r="H19" i="15"/>
  <c r="H25" i="15"/>
  <c r="I13" i="3"/>
  <c r="I20" i="16"/>
  <c r="I13" i="15"/>
  <c r="I18" i="15" s="1"/>
  <c r="I30" i="3"/>
  <c r="F31" i="3"/>
  <c r="F25" i="3"/>
  <c r="F96" i="5"/>
  <c r="F119" i="5"/>
  <c r="F113" i="5"/>
  <c r="G31" i="3"/>
  <c r="G25" i="3"/>
  <c r="H119" i="5"/>
  <c r="H113" i="5"/>
  <c r="F9" i="3"/>
  <c r="H76" i="5"/>
  <c r="H97" i="5"/>
  <c r="H96" i="5"/>
  <c r="G76" i="5"/>
  <c r="G97" i="5"/>
  <c r="F76" i="5"/>
  <c r="F97" i="5"/>
  <c r="F99" i="5" s="1"/>
  <c r="H14" i="5"/>
  <c r="H33" i="5"/>
  <c r="G14" i="5"/>
  <c r="G33" i="5"/>
  <c r="I35" i="5"/>
  <c r="J36" i="5"/>
  <c r="J16" i="5"/>
  <c r="J14" i="3" s="1"/>
  <c r="J12" i="3" s="1"/>
  <c r="F18" i="4"/>
  <c r="F38" i="4"/>
  <c r="G18" i="4"/>
  <c r="F27" i="4"/>
  <c r="G27" i="4"/>
  <c r="H27" i="4"/>
  <c r="G34" i="4"/>
  <c r="H34" i="4"/>
  <c r="I97" i="5" l="1"/>
  <c r="I99" i="5" s="1"/>
  <c r="I76" i="5"/>
  <c r="I96" i="5"/>
  <c r="I119" i="5"/>
  <c r="I115" i="5"/>
  <c r="J20" i="16"/>
  <c r="J13" i="15"/>
  <c r="J18" i="15" s="1"/>
  <c r="J47" i="3" s="1"/>
  <c r="J13" i="3"/>
  <c r="J30" i="3"/>
  <c r="G37" i="3"/>
  <c r="G39" i="3" s="1"/>
  <c r="G32" i="3"/>
  <c r="G33" i="3"/>
  <c r="H37" i="3"/>
  <c r="H39" i="3" s="1"/>
  <c r="H33" i="3"/>
  <c r="H32" i="3"/>
  <c r="I32" i="5"/>
  <c r="I20" i="3"/>
  <c r="I18" i="3" s="1"/>
  <c r="H99" i="5"/>
  <c r="F37" i="3"/>
  <c r="F39" i="3" s="1"/>
  <c r="F32" i="3"/>
  <c r="I47" i="3"/>
  <c r="G99" i="5"/>
  <c r="I21" i="16"/>
  <c r="I112" i="5"/>
  <c r="I113" i="5" s="1"/>
  <c r="H18" i="4"/>
  <c r="E6" i="7"/>
  <c r="J13" i="5"/>
  <c r="J54" i="5" s="1"/>
  <c r="K36" i="5"/>
  <c r="J35" i="5"/>
  <c r="I14" i="5"/>
  <c r="K16" i="5"/>
  <c r="K14" i="3" s="1"/>
  <c r="K12" i="3" s="1"/>
  <c r="F39" i="4"/>
  <c r="G38" i="4"/>
  <c r="G39" i="4" s="1"/>
  <c r="H38" i="4"/>
  <c r="I9" i="3" l="1"/>
  <c r="I33" i="5"/>
  <c r="G40" i="3"/>
  <c r="G41" i="3"/>
  <c r="G65" i="3"/>
  <c r="G64" i="3" s="1"/>
  <c r="G67" i="3" s="1"/>
  <c r="G68" i="3" s="1"/>
  <c r="K20" i="16"/>
  <c r="K13" i="3"/>
  <c r="K13" i="15"/>
  <c r="K18" i="15" s="1"/>
  <c r="K47" i="3" s="1"/>
  <c r="K30" i="3"/>
  <c r="F40" i="3"/>
  <c r="F41" i="3"/>
  <c r="F65" i="3"/>
  <c r="F64" i="3" s="1"/>
  <c r="F67" i="3" s="1"/>
  <c r="F68" i="3" s="1"/>
  <c r="I24" i="3"/>
  <c r="I14" i="15"/>
  <c r="I19" i="3"/>
  <c r="J32" i="5"/>
  <c r="J33" i="5" s="1"/>
  <c r="J20" i="3"/>
  <c r="J18" i="3" s="1"/>
  <c r="H41" i="3"/>
  <c r="H40" i="3"/>
  <c r="J96" i="5"/>
  <c r="J115" i="5"/>
  <c r="J119" i="5"/>
  <c r="I23" i="16"/>
  <c r="I62" i="17" s="1"/>
  <c r="I14" i="16"/>
  <c r="I7" i="7"/>
  <c r="D7" i="17" s="1"/>
  <c r="H46" i="17" s="1"/>
  <c r="I41" i="17" s="1"/>
  <c r="I42" i="17" s="1"/>
  <c r="M6" i="7"/>
  <c r="M9" i="7"/>
  <c r="I6" i="7"/>
  <c r="K13" i="5"/>
  <c r="J76" i="5"/>
  <c r="J97" i="5"/>
  <c r="L36" i="5"/>
  <c r="K35" i="5"/>
  <c r="J14" i="5"/>
  <c r="L16" i="5"/>
  <c r="L14" i="3" s="1"/>
  <c r="L12" i="3" s="1"/>
  <c r="H39" i="4"/>
  <c r="K96" i="5" l="1"/>
  <c r="K54" i="5"/>
  <c r="J9" i="3"/>
  <c r="F69" i="3"/>
  <c r="F1" i="3" s="1"/>
  <c r="F70" i="3"/>
  <c r="G69" i="3"/>
  <c r="G1" i="3" s="1"/>
  <c r="G70" i="3"/>
  <c r="K32" i="5"/>
  <c r="K33" i="5" s="1"/>
  <c r="K20" i="3"/>
  <c r="K18" i="3" s="1"/>
  <c r="L13" i="15"/>
  <c r="L18" i="15" s="1"/>
  <c r="L47" i="3" s="1"/>
  <c r="L13" i="3"/>
  <c r="L20" i="16"/>
  <c r="L30" i="3"/>
  <c r="I20" i="15"/>
  <c r="I22" i="15"/>
  <c r="I57" i="3" s="1"/>
  <c r="I25" i="3"/>
  <c r="I31" i="3"/>
  <c r="J99" i="5"/>
  <c r="J14" i="15"/>
  <c r="J19" i="3"/>
  <c r="J24" i="3"/>
  <c r="D6" i="17"/>
  <c r="H36" i="17" s="1"/>
  <c r="H68" i="17" s="1"/>
  <c r="I47" i="7"/>
  <c r="J47" i="7" s="1"/>
  <c r="I27" i="16"/>
  <c r="J27" i="16" s="1"/>
  <c r="I78" i="3"/>
  <c r="K115" i="5"/>
  <c r="K119" i="5"/>
  <c r="J21" i="16"/>
  <c r="J112" i="5"/>
  <c r="J113" i="5" s="1"/>
  <c r="I46" i="7"/>
  <c r="J46" i="7" s="1"/>
  <c r="E20" i="7"/>
  <c r="E26" i="7" s="1"/>
  <c r="M8" i="7"/>
  <c r="M11" i="7" s="1"/>
  <c r="L13" i="5"/>
  <c r="K76" i="5"/>
  <c r="K97" i="5"/>
  <c r="K99" i="5" s="1"/>
  <c r="M36" i="5"/>
  <c r="L35" i="5"/>
  <c r="K14" i="5"/>
  <c r="M16" i="5"/>
  <c r="M14" i="3" s="1"/>
  <c r="M12" i="3" s="1"/>
  <c r="L96" i="5" l="1"/>
  <c r="L54" i="5"/>
  <c r="L32" i="5"/>
  <c r="L20" i="3"/>
  <c r="L18" i="3" s="1"/>
  <c r="K24" i="3"/>
  <c r="K14" i="15"/>
  <c r="K19" i="3"/>
  <c r="J25" i="3"/>
  <c r="J31" i="3"/>
  <c r="K9" i="3"/>
  <c r="J20" i="15"/>
  <c r="J48" i="3" s="1"/>
  <c r="J22" i="15"/>
  <c r="J57" i="3" s="1"/>
  <c r="I48" i="3"/>
  <c r="I24" i="15"/>
  <c r="M20" i="16"/>
  <c r="M13" i="3"/>
  <c r="M13" i="15"/>
  <c r="M18" i="15" s="1"/>
  <c r="M47" i="3" s="1"/>
  <c r="M30" i="3"/>
  <c r="I61" i="17"/>
  <c r="I32" i="3"/>
  <c r="I33" i="3"/>
  <c r="I31" i="17"/>
  <c r="I32" i="17" s="1"/>
  <c r="I51" i="17" s="1"/>
  <c r="I65" i="17" s="1"/>
  <c r="H62" i="3"/>
  <c r="K21" i="16"/>
  <c r="K112" i="5"/>
  <c r="K113" i="5" s="1"/>
  <c r="K27" i="16"/>
  <c r="L27" i="16" s="1"/>
  <c r="L115" i="5"/>
  <c r="L119" i="5"/>
  <c r="L9" i="3"/>
  <c r="J23" i="16"/>
  <c r="J62" i="17" s="1"/>
  <c r="J14" i="16"/>
  <c r="J78" i="3" s="1"/>
  <c r="I32" i="16"/>
  <c r="I15" i="16" s="1"/>
  <c r="J48" i="7"/>
  <c r="H61" i="3"/>
  <c r="I34" i="7"/>
  <c r="J34" i="7" s="1"/>
  <c r="I9" i="7"/>
  <c r="I8" i="7"/>
  <c r="H37" i="7"/>
  <c r="J37" i="7" s="1"/>
  <c r="M13" i="5"/>
  <c r="M54" i="5" s="1"/>
  <c r="L76" i="5"/>
  <c r="L97" i="5"/>
  <c r="L99" i="5" s="1"/>
  <c r="M35" i="5"/>
  <c r="L14" i="5"/>
  <c r="L33" i="5"/>
  <c r="J61" i="17" l="1"/>
  <c r="J32" i="3"/>
  <c r="J33" i="3"/>
  <c r="I25" i="15"/>
  <c r="I26" i="15"/>
  <c r="I77" i="3" s="1"/>
  <c r="K20" i="15"/>
  <c r="K48" i="3" s="1"/>
  <c r="K22" i="15"/>
  <c r="K57" i="3" s="1"/>
  <c r="M32" i="5"/>
  <c r="M33" i="5" s="1"/>
  <c r="M20" i="3"/>
  <c r="M18" i="3" s="1"/>
  <c r="K25" i="3"/>
  <c r="K31" i="3"/>
  <c r="L19" i="3"/>
  <c r="L14" i="15"/>
  <c r="L24" i="3"/>
  <c r="J24" i="15"/>
  <c r="J26" i="15" s="1"/>
  <c r="J77" i="3" s="1"/>
  <c r="H69" i="17"/>
  <c r="I81" i="3"/>
  <c r="H52" i="3"/>
  <c r="I52" i="3" s="1"/>
  <c r="J52" i="3" s="1"/>
  <c r="K52" i="3" s="1"/>
  <c r="L52" i="3" s="1"/>
  <c r="M52" i="3" s="1"/>
  <c r="M96" i="5"/>
  <c r="M115" i="5"/>
  <c r="M119" i="5"/>
  <c r="K23" i="16"/>
  <c r="K62" i="17" s="1"/>
  <c r="K14" i="16"/>
  <c r="K78" i="3" s="1"/>
  <c r="L21" i="16"/>
  <c r="L112" i="5"/>
  <c r="L113" i="5" s="1"/>
  <c r="M27" i="16"/>
  <c r="I35" i="3"/>
  <c r="I75" i="3"/>
  <c r="I17" i="16"/>
  <c r="I16" i="16"/>
  <c r="M14" i="5"/>
  <c r="J28" i="16"/>
  <c r="J35" i="7"/>
  <c r="J38" i="7" s="1"/>
  <c r="H49" i="3"/>
  <c r="H63" i="3"/>
  <c r="I11" i="7"/>
  <c r="M12" i="7" s="1"/>
  <c r="I51" i="7"/>
  <c r="J51" i="7" s="1"/>
  <c r="M76" i="5"/>
  <c r="M97" i="5"/>
  <c r="M9" i="3" l="1"/>
  <c r="K61" i="17"/>
  <c r="K32" i="3"/>
  <c r="K33" i="3"/>
  <c r="J25" i="15"/>
  <c r="L20" i="15"/>
  <c r="L48" i="3" s="1"/>
  <c r="L22" i="15"/>
  <c r="L57" i="3" s="1"/>
  <c r="M19" i="3"/>
  <c r="M14" i="15"/>
  <c r="M24" i="3"/>
  <c r="L25" i="3"/>
  <c r="L31" i="3"/>
  <c r="K24" i="15"/>
  <c r="M99" i="5"/>
  <c r="K36" i="3"/>
  <c r="K76" i="3" s="1"/>
  <c r="J36" i="3"/>
  <c r="J76" i="3" s="1"/>
  <c r="M36" i="3"/>
  <c r="M76" i="3" s="1"/>
  <c r="L36" i="3"/>
  <c r="L76" i="3" s="1"/>
  <c r="I36" i="3"/>
  <c r="I76" i="3" s="1"/>
  <c r="J13" i="16"/>
  <c r="I51" i="3"/>
  <c r="K29" i="16"/>
  <c r="L29" i="16" s="1"/>
  <c r="M21" i="16"/>
  <c r="M112" i="5"/>
  <c r="M113" i="5" s="1"/>
  <c r="J32" i="16"/>
  <c r="J15" i="16" s="1"/>
  <c r="K28" i="16"/>
  <c r="L23" i="16"/>
  <c r="L62" i="17" s="1"/>
  <c r="L14" i="16"/>
  <c r="L78" i="3" s="1"/>
  <c r="N27" i="16"/>
  <c r="J52" i="7"/>
  <c r="J53" i="7" s="1"/>
  <c r="J54" i="7" s="1"/>
  <c r="H66" i="3"/>
  <c r="I66" i="3" s="1"/>
  <c r="J66" i="3" s="1"/>
  <c r="K66" i="3" s="1"/>
  <c r="L66" i="3" s="1"/>
  <c r="M66" i="3" s="1"/>
  <c r="H50" i="3"/>
  <c r="H53" i="3" s="1"/>
  <c r="L24" i="15" l="1"/>
  <c r="L26" i="15" s="1"/>
  <c r="L77" i="3" s="1"/>
  <c r="M31" i="3"/>
  <c r="M25" i="3"/>
  <c r="K25" i="15"/>
  <c r="K26" i="15"/>
  <c r="K77" i="3" s="1"/>
  <c r="L61" i="17"/>
  <c r="L33" i="3"/>
  <c r="L32" i="3"/>
  <c r="M22" i="15"/>
  <c r="M57" i="3" s="1"/>
  <c r="M20" i="15"/>
  <c r="M48" i="3" s="1"/>
  <c r="I49" i="3"/>
  <c r="J49" i="3" s="1"/>
  <c r="K49" i="3" s="1"/>
  <c r="L49" i="3" s="1"/>
  <c r="M49" i="3" s="1"/>
  <c r="M29" i="16"/>
  <c r="N29" i="16" s="1"/>
  <c r="K32" i="16"/>
  <c r="K15" i="16" s="1"/>
  <c r="K17" i="16" s="1"/>
  <c r="M23" i="16"/>
  <c r="M14" i="16"/>
  <c r="M78" i="3" s="1"/>
  <c r="L28" i="16"/>
  <c r="J75" i="3"/>
  <c r="J35" i="3"/>
  <c r="J17" i="16"/>
  <c r="L30" i="16"/>
  <c r="M30" i="16" s="1"/>
  <c r="J16" i="16"/>
  <c r="J51" i="3" s="1"/>
  <c r="H67" i="3"/>
  <c r="H68" i="3" s="1"/>
  <c r="M24" i="15" l="1"/>
  <c r="M25" i="15" s="1"/>
  <c r="M61" i="17"/>
  <c r="M33" i="3"/>
  <c r="M32" i="3"/>
  <c r="L25" i="15"/>
  <c r="M31" i="16"/>
  <c r="N31" i="16" s="1"/>
  <c r="M62" i="17"/>
  <c r="K75" i="3"/>
  <c r="K35" i="3"/>
  <c r="L32" i="16"/>
  <c r="L15" i="16" s="1"/>
  <c r="N30" i="16"/>
  <c r="M28" i="16"/>
  <c r="K13" i="16"/>
  <c r="K16" i="16" s="1"/>
  <c r="K51" i="3" s="1"/>
  <c r="H70" i="3"/>
  <c r="H69" i="3"/>
  <c r="H1" i="3" s="1"/>
  <c r="M26" i="15" l="1"/>
  <c r="M77" i="3" s="1"/>
  <c r="L13" i="16"/>
  <c r="L16" i="16" s="1"/>
  <c r="L51" i="3" s="1"/>
  <c r="M32" i="16"/>
  <c r="M15" i="16" s="1"/>
  <c r="N28" i="16"/>
  <c r="L17" i="16"/>
  <c r="L35" i="3"/>
  <c r="L75" i="3"/>
  <c r="M17" i="16" l="1"/>
  <c r="M35" i="3"/>
  <c r="M75" i="3"/>
  <c r="M13" i="16"/>
  <c r="M16" i="16" s="1"/>
  <c r="M51" i="3" s="1"/>
  <c r="I28" i="17" l="1"/>
  <c r="J18" i="17" l="1"/>
  <c r="K18" i="17"/>
  <c r="L18" i="17"/>
  <c r="M18" i="17"/>
  <c r="I19" i="17"/>
  <c r="J19" i="17"/>
  <c r="K19" i="17"/>
  <c r="L19" i="17"/>
  <c r="M19" i="17"/>
  <c r="I21" i="17"/>
  <c r="J21" i="17"/>
  <c r="K21" i="17"/>
  <c r="L21" i="17"/>
  <c r="M21" i="17"/>
  <c r="J24" i="17"/>
  <c r="K24" i="17"/>
  <c r="L24" i="17"/>
  <c r="M24" i="17"/>
  <c r="I25" i="17"/>
  <c r="J25" i="17"/>
  <c r="K25" i="17"/>
  <c r="L25" i="17"/>
  <c r="M25" i="17"/>
  <c r="I26" i="17"/>
  <c r="J26" i="17"/>
  <c r="K26" i="17"/>
  <c r="L26" i="17"/>
  <c r="M26" i="17"/>
  <c r="J28" i="17"/>
  <c r="K28" i="17"/>
  <c r="L28" i="17"/>
  <c r="M28" i="17"/>
  <c r="J31" i="17"/>
  <c r="K31" i="17"/>
  <c r="L31" i="17"/>
  <c r="M31" i="17"/>
  <c r="J32" i="17"/>
  <c r="K32" i="17"/>
  <c r="L32" i="17"/>
  <c r="M32" i="17"/>
  <c r="M33" i="17"/>
  <c r="M34" i="17"/>
  <c r="I35" i="17"/>
  <c r="J35" i="17"/>
  <c r="K35" i="17"/>
  <c r="L35" i="17"/>
  <c r="M35" i="17"/>
  <c r="I36" i="17"/>
  <c r="J36" i="17"/>
  <c r="K36" i="17"/>
  <c r="L36" i="17"/>
  <c r="M36" i="17"/>
  <c r="I38" i="17"/>
  <c r="J38" i="17"/>
  <c r="K38" i="17"/>
  <c r="L38" i="17"/>
  <c r="M38" i="17"/>
  <c r="J41" i="17"/>
  <c r="K41" i="17"/>
  <c r="L41" i="17"/>
  <c r="M41" i="17"/>
  <c r="J42" i="17"/>
  <c r="K42" i="17"/>
  <c r="L42" i="17"/>
  <c r="M42" i="17"/>
  <c r="M43" i="17"/>
  <c r="M44" i="17"/>
  <c r="I45" i="17"/>
  <c r="J45" i="17"/>
  <c r="K45" i="17"/>
  <c r="L45" i="17"/>
  <c r="M45" i="17"/>
  <c r="I46" i="17"/>
  <c r="J46" i="17"/>
  <c r="K46" i="17"/>
  <c r="L46" i="17"/>
  <c r="M46" i="17"/>
  <c r="I48" i="17"/>
  <c r="J48" i="17"/>
  <c r="K48" i="17"/>
  <c r="L48" i="17"/>
  <c r="M48" i="17"/>
  <c r="J51" i="17"/>
  <c r="K51" i="17"/>
  <c r="L51" i="17"/>
  <c r="M51" i="17"/>
  <c r="M52" i="17"/>
  <c r="I53" i="17"/>
  <c r="J53" i="17"/>
  <c r="K53" i="17"/>
  <c r="L53" i="17"/>
  <c r="M53" i="17"/>
  <c r="I54" i="17"/>
  <c r="J54" i="17"/>
  <c r="K54" i="17"/>
  <c r="L54" i="17"/>
  <c r="M54" i="17"/>
  <c r="I55" i="17"/>
  <c r="J55" i="17"/>
  <c r="K55" i="17"/>
  <c r="L55" i="17"/>
  <c r="M55" i="17"/>
  <c r="I56" i="17"/>
  <c r="J56" i="17"/>
  <c r="K56" i="17"/>
  <c r="L56" i="17"/>
  <c r="M56" i="17"/>
  <c r="M57" i="17"/>
  <c r="I63" i="17"/>
  <c r="J63" i="17"/>
  <c r="K63" i="17"/>
  <c r="L63" i="17"/>
  <c r="M63" i="17"/>
  <c r="I64" i="17"/>
  <c r="J64" i="17"/>
  <c r="K64" i="17"/>
  <c r="L64" i="17"/>
  <c r="M64" i="17"/>
  <c r="J65" i="17"/>
  <c r="K65" i="17"/>
  <c r="L65" i="17"/>
  <c r="M65" i="17"/>
  <c r="I66" i="17"/>
  <c r="J66" i="17"/>
  <c r="K66" i="17"/>
  <c r="L66" i="17"/>
  <c r="M66" i="17"/>
  <c r="I68" i="17"/>
  <c r="J68" i="17"/>
  <c r="K68" i="17"/>
  <c r="L68" i="17"/>
  <c r="M68" i="17"/>
  <c r="I69" i="17"/>
  <c r="J69" i="17"/>
  <c r="K69" i="17"/>
  <c r="L69" i="17"/>
  <c r="M69" i="17"/>
  <c r="I1" i="3"/>
  <c r="J1" i="3"/>
  <c r="K1" i="3"/>
  <c r="L1" i="3"/>
  <c r="M1" i="3"/>
  <c r="I34" i="3"/>
  <c r="J34" i="3"/>
  <c r="K34" i="3"/>
  <c r="L34" i="3"/>
  <c r="M34" i="3"/>
  <c r="I37" i="3"/>
  <c r="J37" i="3"/>
  <c r="K37" i="3"/>
  <c r="L37" i="3"/>
  <c r="M37" i="3"/>
  <c r="I38" i="3"/>
  <c r="J38" i="3"/>
  <c r="K38" i="3"/>
  <c r="L38" i="3"/>
  <c r="M38" i="3"/>
  <c r="I39" i="3"/>
  <c r="J39" i="3"/>
  <c r="K39" i="3"/>
  <c r="L39" i="3"/>
  <c r="M39" i="3"/>
  <c r="I40" i="3"/>
  <c r="J40" i="3"/>
  <c r="K40" i="3"/>
  <c r="L40" i="3"/>
  <c r="M40" i="3"/>
  <c r="I46" i="3"/>
  <c r="J46" i="3"/>
  <c r="K46" i="3"/>
  <c r="L46" i="3"/>
  <c r="M46" i="3"/>
  <c r="I50" i="3"/>
  <c r="J50" i="3"/>
  <c r="K50" i="3"/>
  <c r="L50" i="3"/>
  <c r="M50" i="3"/>
  <c r="I53" i="3"/>
  <c r="J53" i="3"/>
  <c r="K53" i="3"/>
  <c r="L53" i="3"/>
  <c r="M53" i="3"/>
  <c r="I56" i="3"/>
  <c r="J56" i="3"/>
  <c r="K56" i="3"/>
  <c r="L56" i="3"/>
  <c r="M56" i="3"/>
  <c r="I59" i="3"/>
  <c r="J59" i="3"/>
  <c r="K59" i="3"/>
  <c r="L59" i="3"/>
  <c r="M59" i="3"/>
  <c r="I61" i="3"/>
  <c r="J61" i="3"/>
  <c r="K61" i="3"/>
  <c r="L61" i="3"/>
  <c r="M61" i="3"/>
  <c r="I62" i="3"/>
  <c r="J62" i="3"/>
  <c r="K62" i="3"/>
  <c r="L62" i="3"/>
  <c r="M62" i="3"/>
  <c r="I63" i="3"/>
  <c r="J63" i="3"/>
  <c r="K63" i="3"/>
  <c r="L63" i="3"/>
  <c r="M63" i="3"/>
  <c r="J64" i="3"/>
  <c r="K64" i="3"/>
  <c r="L64" i="3"/>
  <c r="M64" i="3"/>
  <c r="I65" i="3"/>
  <c r="J65" i="3"/>
  <c r="K65" i="3"/>
  <c r="L65" i="3"/>
  <c r="M65" i="3"/>
  <c r="I67" i="3"/>
  <c r="J67" i="3"/>
  <c r="K67" i="3"/>
  <c r="L67" i="3"/>
  <c r="M67" i="3"/>
  <c r="I68" i="3"/>
  <c r="J68" i="3"/>
  <c r="K68" i="3"/>
  <c r="L68" i="3"/>
  <c r="M68" i="3"/>
  <c r="I69" i="3"/>
  <c r="J69" i="3"/>
  <c r="K69" i="3"/>
  <c r="L69" i="3"/>
  <c r="M69" i="3"/>
  <c r="I74" i="3"/>
  <c r="J74" i="3"/>
  <c r="K74" i="3"/>
  <c r="L74" i="3"/>
  <c r="M74" i="3"/>
  <c r="I79" i="3"/>
  <c r="J79" i="3"/>
  <c r="K79" i="3"/>
  <c r="L79" i="3"/>
  <c r="M79" i="3"/>
  <c r="J81" i="3"/>
  <c r="K81" i="3"/>
  <c r="L81" i="3"/>
  <c r="M81" i="3"/>
  <c r="I82" i="3"/>
  <c r="J82" i="3"/>
  <c r="K82" i="3"/>
  <c r="L82" i="3"/>
  <c r="M82" i="3"/>
  <c r="I84" i="3"/>
  <c r="J84" i="3"/>
  <c r="K84" i="3"/>
  <c r="L84" i="3"/>
  <c r="M84" i="3"/>
  <c r="I85" i="3"/>
  <c r="J85" i="3"/>
  <c r="K85" i="3"/>
  <c r="L85" i="3"/>
  <c r="M85" i="3"/>
  <c r="I87" i="3"/>
  <c r="J87" i="3"/>
  <c r="K87" i="3"/>
  <c r="L87" i="3"/>
  <c r="M87" i="3"/>
  <c r="I88" i="3"/>
  <c r="J88" i="3"/>
  <c r="K88" i="3"/>
  <c r="L88" i="3"/>
  <c r="M88" i="3"/>
  <c r="I89" i="3"/>
  <c r="J89" i="3"/>
  <c r="K89" i="3"/>
  <c r="L89" i="3"/>
  <c r="M89" i="3"/>
  <c r="I93" i="3"/>
  <c r="J93" i="3"/>
  <c r="K93" i="3"/>
  <c r="L93" i="3"/>
  <c r="M93" i="3"/>
  <c r="J95" i="3"/>
  <c r="K95" i="3"/>
  <c r="L95" i="3"/>
  <c r="M95" i="3"/>
  <c r="I96" i="3"/>
  <c r="J96" i="3"/>
  <c r="K96" i="3"/>
  <c r="L96" i="3"/>
  <c r="M96" i="3"/>
</calcChain>
</file>

<file path=xl/sharedStrings.xml><?xml version="1.0" encoding="utf-8"?>
<sst xmlns="http://schemas.openxmlformats.org/spreadsheetml/2006/main" count="656" uniqueCount="217">
  <si>
    <t>x</t>
  </si>
  <si>
    <t>Transaction Fees</t>
  </si>
  <si>
    <t>Cash to B/S</t>
  </si>
  <si>
    <t>Purchase Enterprise Value</t>
  </si>
  <si>
    <t>Financing Fees Amortization Period</t>
  </si>
  <si>
    <t>Circularity Toggle ("0" = On)</t>
  </si>
  <si>
    <t>Revolver</t>
  </si>
  <si>
    <t>Senior Debt</t>
  </si>
  <si>
    <t>Subordinate Debt</t>
  </si>
  <si>
    <t xml:space="preserve">Total </t>
  </si>
  <si>
    <t>Sources</t>
  </si>
  <si>
    <t>Amount</t>
  </si>
  <si>
    <t>Uses</t>
  </si>
  <si>
    <t>Financing Fees</t>
  </si>
  <si>
    <t>Rollover Equity</t>
  </si>
  <si>
    <t>Total Equity</t>
  </si>
  <si>
    <t>Check</t>
  </si>
  <si>
    <t xml:space="preserve">Rollover Equity </t>
  </si>
  <si>
    <t>Assets</t>
  </si>
  <si>
    <t>Debits</t>
  </si>
  <si>
    <t>Credits</t>
  </si>
  <si>
    <t>Total Current Assets</t>
  </si>
  <si>
    <t xml:space="preserve">Goodwill </t>
  </si>
  <si>
    <t>Total Assets</t>
  </si>
  <si>
    <t>Liabilities and Shareholder's Equity</t>
  </si>
  <si>
    <t>Accounts Payable</t>
  </si>
  <si>
    <t>Other Current Liabilities</t>
  </si>
  <si>
    <t>Total Current Liabilities</t>
  </si>
  <si>
    <t>Total Liabilities</t>
  </si>
  <si>
    <t>Retained Earnings</t>
  </si>
  <si>
    <t>Net Income</t>
  </si>
  <si>
    <t xml:space="preserve">Share Capital </t>
  </si>
  <si>
    <t>Shareholders' Equity</t>
  </si>
  <si>
    <t>Total Liabilities + Equity</t>
  </si>
  <si>
    <t>Balance Check</t>
  </si>
  <si>
    <t>Less: Debt</t>
  </si>
  <si>
    <t>Plus: Cash</t>
  </si>
  <si>
    <t>Purchase Equity Value</t>
  </si>
  <si>
    <t>Less: Book Value of Equity</t>
  </si>
  <si>
    <t>Allocable Purchase Premium</t>
  </si>
  <si>
    <t>Date</t>
  </si>
  <si>
    <t>New Construction</t>
  </si>
  <si>
    <t>Historical Period</t>
  </si>
  <si>
    <t>Forecast Period</t>
  </si>
  <si>
    <t>X</t>
  </si>
  <si>
    <t>Revenues</t>
  </si>
  <si>
    <t>Growth (%)</t>
  </si>
  <si>
    <t>Payroll</t>
  </si>
  <si>
    <t>Rent</t>
  </si>
  <si>
    <t>Days of Sales Outstanding</t>
  </si>
  <si>
    <t>Days of Inventory</t>
  </si>
  <si>
    <t>Days of Payables Outstanding</t>
  </si>
  <si>
    <t>.</t>
  </si>
  <si>
    <t>Revenue</t>
  </si>
  <si>
    <t>Cost Of Goods Sold</t>
  </si>
  <si>
    <t>Gross Profit</t>
  </si>
  <si>
    <t>% margin</t>
  </si>
  <si>
    <t>Operating Expenses</t>
  </si>
  <si>
    <t>% of revenues</t>
  </si>
  <si>
    <t>EBT</t>
  </si>
  <si>
    <t xml:space="preserve">Cash and Equivalent </t>
  </si>
  <si>
    <t>Accounts Receivable</t>
  </si>
  <si>
    <t>Inventory</t>
  </si>
  <si>
    <t>PP&amp;E</t>
  </si>
  <si>
    <t>Less: Δ in NWC</t>
  </si>
  <si>
    <t>Less: CapEx</t>
  </si>
  <si>
    <t>Less: Cash Sweep Senior Debt</t>
  </si>
  <si>
    <t>Cash Flow After Financing Activities</t>
  </si>
  <si>
    <t>Plus: Capitalizations</t>
  </si>
  <si>
    <t>Less: Distributions</t>
  </si>
  <si>
    <t>Days in Year</t>
  </si>
  <si>
    <t>Cost of Goods Sold</t>
  </si>
  <si>
    <t>NWC Accounts</t>
  </si>
  <si>
    <t xml:space="preserve">Inventory </t>
  </si>
  <si>
    <t>% of net revenue</t>
  </si>
  <si>
    <t>Decrease (increase)</t>
  </si>
  <si>
    <t>Fixed Asset Continuity</t>
  </si>
  <si>
    <t>Opening Fixed Assets</t>
  </si>
  <si>
    <t>Closing Fixed Assets</t>
  </si>
  <si>
    <t>Capex Depreciation Schedule</t>
  </si>
  <si>
    <t>Maintenance Capex</t>
  </si>
  <si>
    <t>Growth Capex</t>
  </si>
  <si>
    <t>Total Capex</t>
  </si>
  <si>
    <t>Useful life (years)</t>
  </si>
  <si>
    <t>Depreciation (straight-line)</t>
  </si>
  <si>
    <t>Total</t>
  </si>
  <si>
    <t>Depreciation on Existing PP&amp;E</t>
  </si>
  <si>
    <t>Useful life (years) of existing PP&amp;E</t>
  </si>
  <si>
    <t>PP&amp;E opening</t>
  </si>
  <si>
    <t>(-) D&amp;A</t>
  </si>
  <si>
    <t>PP&amp;E closing</t>
  </si>
  <si>
    <t>Beginning Balance</t>
  </si>
  <si>
    <t>Plus: Beginning Cash</t>
  </si>
  <si>
    <t>Revolver Drawdown / (Paydown)</t>
  </si>
  <si>
    <t>Ending Balance</t>
  </si>
  <si>
    <t>Revolver Interest Rate</t>
  </si>
  <si>
    <t>Revolver Interest Expense</t>
  </si>
  <si>
    <t>Less: Mandatory Amortization (excl. balloon)</t>
  </si>
  <si>
    <t>Less: Balloon Payment</t>
  </si>
  <si>
    <t>Less: End of Term</t>
  </si>
  <si>
    <t>Less: Cash Sweep</t>
  </si>
  <si>
    <t>Senior Debt Interest Rate</t>
  </si>
  <si>
    <t>Senior Debt Interest Expense</t>
  </si>
  <si>
    <t>Assumptions</t>
  </si>
  <si>
    <t>Plus: D&amp;A</t>
  </si>
  <si>
    <t>EBITDA</t>
  </si>
  <si>
    <t>COGS</t>
  </si>
  <si>
    <t xml:space="preserve">Rent </t>
  </si>
  <si>
    <t>Net income</t>
  </si>
  <si>
    <t>Inventories</t>
  </si>
  <si>
    <t>Share Capital</t>
  </si>
  <si>
    <t>Total Liabilities and Equity</t>
  </si>
  <si>
    <t>Income Statement</t>
  </si>
  <si>
    <t>Balance Sheet</t>
  </si>
  <si>
    <t>Cash and Cash Equivalent</t>
  </si>
  <si>
    <t>FY24 EBITDA</t>
  </si>
  <si>
    <t>Core Business</t>
  </si>
  <si>
    <t xml:space="preserve">Hospitality </t>
  </si>
  <si>
    <t>Initial Assumption ($)</t>
  </si>
  <si>
    <t>Debt Schedule</t>
  </si>
  <si>
    <t>Growth Levers</t>
  </si>
  <si>
    <t>Growth Timing</t>
  </si>
  <si>
    <t>Hospitality</t>
  </si>
  <si>
    <t>U.S. Expansion</t>
  </si>
  <si>
    <t>Selection</t>
  </si>
  <si>
    <t>Yes</t>
  </si>
  <si>
    <t>% of revenue</t>
  </si>
  <si>
    <t>Change in COGS as % of revenue</t>
  </si>
  <si>
    <t>In USD 000, FY ending Dec 31</t>
  </si>
  <si>
    <t>Other Administrative</t>
  </si>
  <si>
    <t>Less: Interest Expenes</t>
  </si>
  <si>
    <t>Less: D&amp;A</t>
  </si>
  <si>
    <t>Less: Income Tax</t>
  </si>
  <si>
    <t>Local Expansion</t>
  </si>
  <si>
    <t>New Facility Yearly Cost ($)</t>
  </si>
  <si>
    <t xml:space="preserve">Working Capital </t>
  </si>
  <si>
    <t>Income Tax</t>
  </si>
  <si>
    <t>U.S. Income Tax Rate</t>
  </si>
  <si>
    <t>Europe Income Tax Rate</t>
  </si>
  <si>
    <t>Europe Tax Allocation</t>
  </si>
  <si>
    <t>US Tax Allocation</t>
  </si>
  <si>
    <t>Weighted Average Income Tax Rate</t>
  </si>
  <si>
    <t>$</t>
  </si>
  <si>
    <t>%</t>
  </si>
  <si>
    <t>Days</t>
  </si>
  <si>
    <t>Accounts Receivable (DSO)</t>
  </si>
  <si>
    <t>Inventories (DIO)</t>
  </si>
  <si>
    <t>CapEx</t>
  </si>
  <si>
    <t>Maintenance CapEx</t>
  </si>
  <si>
    <t>Growth CapEx</t>
  </si>
  <si>
    <t>Purchase Multiple</t>
  </si>
  <si>
    <t>Debt Paydown</t>
  </si>
  <si>
    <t xml:space="preserve">Sponsor Equity </t>
  </si>
  <si>
    <t>Senior Debt / EBITDA</t>
  </si>
  <si>
    <t>Subordinate Debt / EBITDA</t>
  </si>
  <si>
    <t xml:space="preserve">Check </t>
  </si>
  <si>
    <t>Years</t>
  </si>
  <si>
    <t>Closing Balance Sheet</t>
  </si>
  <si>
    <t>Goodwill Calculation</t>
  </si>
  <si>
    <t>Transaction Date</t>
  </si>
  <si>
    <t>Long Term Debt</t>
  </si>
  <si>
    <t>Long-term Liabilities</t>
  </si>
  <si>
    <t>Plus: Existing Goodwill</t>
  </si>
  <si>
    <t>Pro Forma Balance Sheet</t>
  </si>
  <si>
    <t>1. Transaction Structure</t>
  </si>
  <si>
    <t xml:space="preserve">2. Assumptions </t>
  </si>
  <si>
    <t>Less: Amortization of Financing Fees</t>
  </si>
  <si>
    <t>Other Current Assets</t>
  </si>
  <si>
    <t>Historical Check</t>
  </si>
  <si>
    <t>Cash Flow Statement</t>
  </si>
  <si>
    <t>Levered Free Cash Flow</t>
  </si>
  <si>
    <t>Plus: Changes in Other Non Operating Assets / Liabilities</t>
  </si>
  <si>
    <t>Less: Mandatory Repayment</t>
  </si>
  <si>
    <t>Cash Flow Available After Repayment</t>
  </si>
  <si>
    <t>Cash Flow Available for Optional Repayment</t>
  </si>
  <si>
    <t>Less: Cash Sweep Subordinate Note</t>
  </si>
  <si>
    <t>Net Cash Flow</t>
  </si>
  <si>
    <t>Beginning Cash Balance</t>
  </si>
  <si>
    <t>Ending Cash Balance</t>
  </si>
  <si>
    <t>Non-Cash Net Working Capital</t>
  </si>
  <si>
    <t>Accounts Payable (DPO)</t>
  </si>
  <si>
    <t xml:space="preserve">Net Working Capital </t>
  </si>
  <si>
    <t>Plus: Capex</t>
  </si>
  <si>
    <t>Less: Depreciation</t>
  </si>
  <si>
    <t>Depreciation / CapEx</t>
  </si>
  <si>
    <t>Plus: Cash Flow Available After Repayment</t>
  </si>
  <si>
    <t xml:space="preserve">Plus: Capitalizations </t>
  </si>
  <si>
    <t>Plus: Revolver Drawdown / (Paydown)</t>
  </si>
  <si>
    <t>Debt Covenant Metrics</t>
  </si>
  <si>
    <t>Leverage</t>
  </si>
  <si>
    <t>Pricing</t>
  </si>
  <si>
    <t>Amortization</t>
  </si>
  <si>
    <t>Term</t>
  </si>
  <si>
    <t>Balloon</t>
  </si>
  <si>
    <t>Period</t>
  </si>
  <si>
    <t>Cash Available for Cash Sweep / Revolver</t>
  </si>
  <si>
    <t>Cash Available for Sweep / Revolver</t>
  </si>
  <si>
    <t>Fixed Coverage Ratio</t>
  </si>
  <si>
    <t>Cash Taxes</t>
  </si>
  <si>
    <t>Cash Interest Expense</t>
  </si>
  <si>
    <t>Mandatory Amortization</t>
  </si>
  <si>
    <t xml:space="preserve">Fixed Coverage </t>
  </si>
  <si>
    <t>Debt Summary</t>
  </si>
  <si>
    <t>Cash Sweep</t>
  </si>
  <si>
    <t>Interest Expense</t>
  </si>
  <si>
    <t>Total Debt Service</t>
  </si>
  <si>
    <t>Mandatory Debt Repayment (excl. Ballon and End of Term)</t>
  </si>
  <si>
    <t>End of Term and Balloon Repayment</t>
  </si>
  <si>
    <t>Senior Leverage Ratio</t>
  </si>
  <si>
    <t>3. Financial Statements</t>
  </si>
  <si>
    <t>4. Debt</t>
  </si>
  <si>
    <t>5. PP&amp;E</t>
  </si>
  <si>
    <t>6. NWC</t>
  </si>
  <si>
    <t>7. Historicals</t>
  </si>
  <si>
    <t>New Construction (Expansion)</t>
  </si>
  <si>
    <t>Less: Interest Expense</t>
  </si>
  <si>
    <t>Total Leverage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</si>
</sst>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6" formatCode="&quot;$&quot;#,##0_);[Red]\(&quot;$&quot;#,##0\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&quot;$&quot;* #,##0_);_(&quot;$&quot;* \(#,##0\);_(&quot;$&quot;* &quot;-&quot;??_);_(@_)"/>
    <numFmt numFmtId="166" formatCode="0.00\x\ "/>
    <numFmt numFmtId="167" formatCode="_-&quot;$&quot;* #,##0_-;\-&quot;$&quot;* #,##0_-;_-&quot;$&quot;* &quot;-&quot;??_-;_-@_-"/>
    <numFmt numFmtId="168" formatCode="#,##0.0"/>
    <numFmt numFmtId="169" formatCode="0.0%"/>
    <numFmt numFmtId="170" formatCode="&quot;FY&quot;yy&quot;B&quot;"/>
    <numFmt numFmtId="171" formatCode="&quot;$&quot;#,##0_);\(&quot;$&quot;#,##0\);&quot;-  &quot;"/>
    <numFmt numFmtId="172" formatCode="&quot;FY&quot;0"/>
    <numFmt numFmtId="173" formatCode="#,##0.0\x"/>
    <numFmt numFmtId="174" formatCode="0&quot;A&quot;"/>
    <numFmt numFmtId="175" formatCode="0&quot;E&quot;"/>
    <numFmt numFmtId="176" formatCode="_-* #,##0.00_-;\-* #,##0.00_-;_-* &quot;-&quot;??_-;_-@_-"/>
    <numFmt numFmtId="177" formatCode="mmm\'\ yy"/>
    <numFmt numFmtId="178" formatCode="_-* #.##0.00_-;\-* #.##0.00_-;_-* &quot;-&quot;??_-;_-@_-"/>
    <numFmt numFmtId="179" formatCode="0&quot;PF&quot;"/>
    <numFmt numFmtId="180" formatCode="#,##0.0_);\(#,##0.0\)"/>
    <numFmt numFmtId="181" formatCode="_-* #,##0_-;\-* #,##0_-;_-* &quot;-&quot;_-;_-@_-"/>
    <numFmt numFmtId="182" formatCode="0.00\x"/>
    <numFmt numFmtId="183" formatCode="_(* #.##0.00_);_(* \(#.##0.00\);_(* &quot;-&quot;??_);_(@_)"/>
    <numFmt numFmtId="184" formatCode="_(* #,##0_);_(* \(#,##0\);_(* &quot;-&quot;??_);_(@_)"/>
    <numFmt numFmtId="185" formatCode="[$-409]mmm\-yy;@"/>
    <numFmt numFmtId="186" formatCode="0.0"/>
    <numFmt numFmtId="187" formatCode="#,##0.00\x"/>
    <numFmt numFmtId="188" formatCode="0&quot; Years&quot;"/>
  </numFmts>
  <fonts count="4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rgb="FF0000FF"/>
      <name val="Arial"/>
      <family val="2"/>
    </font>
    <font>
      <b/>
      <sz val="8"/>
      <name val="Arial"/>
      <family val="2"/>
    </font>
    <font>
      <i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FFFF"/>
      <name val="Arial"/>
      <family val="2"/>
    </font>
    <font>
      <sz val="8"/>
      <color theme="0"/>
      <name val="Arial"/>
      <family val="2"/>
    </font>
    <font>
      <b/>
      <u/>
      <sz val="8"/>
      <color theme="1"/>
      <name val="Arial"/>
      <family val="2"/>
    </font>
    <font>
      <sz val="8"/>
      <color rgb="FF008000"/>
      <name val="Arial"/>
      <family val="2"/>
    </font>
    <font>
      <i/>
      <sz val="8"/>
      <color theme="1"/>
      <name val="Arial"/>
      <family val="2"/>
    </font>
    <font>
      <b/>
      <sz val="8"/>
      <color rgb="FF0000FF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i/>
      <sz val="8"/>
      <name val="Arial"/>
      <family val="2"/>
    </font>
    <font>
      <sz val="9"/>
      <color theme="1"/>
      <name val="Arial"/>
      <family val="2"/>
    </font>
    <font>
      <u val="singleAccounting"/>
      <sz val="8"/>
      <name val="Arial"/>
      <family val="2"/>
    </font>
    <font>
      <u val="singleAccounting"/>
      <sz val="8"/>
      <color theme="1"/>
      <name val="Arial"/>
      <family val="2"/>
    </font>
    <font>
      <i/>
      <sz val="8"/>
      <color rgb="FF0000FF"/>
      <name val="Arial"/>
      <family val="2"/>
    </font>
    <font>
      <sz val="11"/>
      <color theme="1"/>
      <name val="Calibri Light"/>
      <family val="2"/>
    </font>
    <font>
      <i/>
      <sz val="8"/>
      <color indexed="8"/>
      <name val="Arial"/>
      <family val="2"/>
    </font>
    <font>
      <b/>
      <sz val="8"/>
      <color rgb="FF008000"/>
      <name val="Arial"/>
      <family val="2"/>
    </font>
    <font>
      <i/>
      <sz val="8"/>
      <color theme="0"/>
      <name val="Arial"/>
      <family val="2"/>
    </font>
    <font>
      <sz val="8"/>
      <color rgb="FF0F56FD"/>
      <name val="Arial"/>
      <family val="2"/>
    </font>
    <font>
      <u/>
      <sz val="8"/>
      <color rgb="FFFF0000"/>
      <name val="Arial"/>
      <family val="2"/>
    </font>
    <font>
      <b/>
      <sz val="8"/>
      <color rgb="FF0070C0"/>
      <name val="Arial"/>
      <family val="2"/>
    </font>
    <font>
      <sz val="8"/>
      <color rgb="FF000000"/>
      <name val="Arial"/>
      <family val="2"/>
    </font>
    <font>
      <sz val="8"/>
      <color rgb="FF00B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u/>
      <sz val="11"/>
      <color theme="10"/>
      <name val="Trebuchet MS"/>
      <family val="2"/>
    </font>
    <font>
      <b/>
      <sz val="8"/>
      <color rgb="FF00B000"/>
      <name val="Arial"/>
      <family val="2"/>
    </font>
    <font>
      <sz val="11"/>
      <color theme="1"/>
      <name val="Calibri"/>
      <family val="2"/>
      <scheme val="minor"/>
    </font>
    <font>
      <strike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indexed="64"/>
      </right>
      <top style="thin">
        <color auto="1"/>
      </top>
      <bottom style="thin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>
      <alignment vertical="center"/>
    </xf>
    <xf numFmtId="181" fontId="7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5" fontId="37" fillId="0" borderId="0"/>
    <xf numFmtId="0" fontId="37" fillId="0" borderId="0"/>
    <xf numFmtId="185" fontId="38" fillId="0" borderId="0" applyNumberFormat="0" applyFill="0" applyBorder="0" applyAlignment="0" applyProtection="0"/>
  </cellStyleXfs>
  <cellXfs count="408">
    <xf numFmtId="0" fontId="0" fillId="0" borderId="0" xfId="0"/>
    <xf numFmtId="0" fontId="1" fillId="0" borderId="0" xfId="1"/>
    <xf numFmtId="0" fontId="4" fillId="0" borderId="0" xfId="1" applyFont="1"/>
    <xf numFmtId="0" fontId="4" fillId="0" borderId="0" xfId="1" applyFont="1" applyAlignment="1">
      <alignment vertical="center"/>
    </xf>
    <xf numFmtId="0" fontId="4" fillId="0" borderId="2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9" fillId="0" borderId="3" xfId="1" applyFont="1" applyBorder="1" applyAlignment="1">
      <alignment horizontal="center" vertical="center"/>
    </xf>
    <xf numFmtId="165" fontId="4" fillId="0" borderId="0" xfId="1" applyNumberFormat="1" applyFont="1" applyAlignment="1">
      <alignment vertical="center"/>
    </xf>
    <xf numFmtId="167" fontId="9" fillId="0" borderId="0" xfId="2" applyNumberFormat="1" applyFont="1" applyAlignment="1">
      <alignment vertical="center"/>
    </xf>
    <xf numFmtId="37" fontId="4" fillId="0" borderId="4" xfId="1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37" fontId="10" fillId="0" borderId="4" xfId="2" applyNumberFormat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37" fontId="9" fillId="0" borderId="0" xfId="2" applyNumberFormat="1" applyFont="1" applyAlignment="1">
      <alignment vertical="center"/>
    </xf>
    <xf numFmtId="37" fontId="4" fillId="0" borderId="0" xfId="2" applyNumberFormat="1" applyFont="1" applyAlignment="1">
      <alignment vertical="center"/>
    </xf>
    <xf numFmtId="37" fontId="4" fillId="0" borderId="0" xfId="1" applyNumberFormat="1" applyFont="1" applyAlignment="1">
      <alignment vertical="center"/>
    </xf>
    <xf numFmtId="0" fontId="5" fillId="0" borderId="2" xfId="1" applyFont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170" fontId="13" fillId="3" borderId="0" xfId="1" applyNumberFormat="1" applyFont="1" applyFill="1" applyAlignment="1">
      <alignment horizontal="right" vertical="center"/>
    </xf>
    <xf numFmtId="0" fontId="6" fillId="2" borderId="2" xfId="1" applyFont="1" applyFill="1" applyBorder="1" applyAlignment="1">
      <alignment horizontal="centerContinuous" vertical="center"/>
    </xf>
    <xf numFmtId="0" fontId="4" fillId="0" borderId="4" xfId="1" applyFont="1" applyBorder="1" applyAlignment="1">
      <alignment vertical="center"/>
    </xf>
    <xf numFmtId="171" fontId="4" fillId="0" borderId="0" xfId="1" applyNumberFormat="1" applyFont="1" applyAlignment="1">
      <alignment vertical="center"/>
    </xf>
    <xf numFmtId="171" fontId="4" fillId="0" borderId="2" xfId="1" applyNumberFormat="1" applyFont="1" applyBorder="1" applyAlignment="1">
      <alignment vertical="center"/>
    </xf>
    <xf numFmtId="171" fontId="5" fillId="0" borderId="0" xfId="1" applyNumberFormat="1" applyFont="1" applyAlignment="1">
      <alignment vertical="center"/>
    </xf>
    <xf numFmtId="171" fontId="5" fillId="0" borderId="4" xfId="1" applyNumberFormat="1" applyFont="1" applyBorder="1" applyAlignment="1">
      <alignment vertical="center"/>
    </xf>
    <xf numFmtId="0" fontId="5" fillId="0" borderId="0" xfId="1" applyFont="1" applyAlignment="1">
      <alignment horizontal="right" vertical="center"/>
    </xf>
    <xf numFmtId="37" fontId="9" fillId="0" borderId="0" xfId="2" applyNumberFormat="1" applyFont="1" applyAlignment="1">
      <alignment horizontal="right" vertical="center"/>
    </xf>
    <xf numFmtId="0" fontId="19" fillId="0" borderId="0" xfId="1" applyFont="1"/>
    <xf numFmtId="0" fontId="19" fillId="0" borderId="0" xfId="1" applyFont="1" applyAlignment="1">
      <alignment horizontal="right"/>
    </xf>
    <xf numFmtId="0" fontId="20" fillId="0" borderId="0" xfId="1" applyFont="1"/>
    <xf numFmtId="0" fontId="19" fillId="0" borderId="0" xfId="1" applyFont="1" applyAlignment="1">
      <alignment vertical="center"/>
    </xf>
    <xf numFmtId="0" fontId="19" fillId="4" borderId="0" xfId="1" applyFont="1" applyFill="1"/>
    <xf numFmtId="0" fontId="6" fillId="4" borderId="0" xfId="1" applyFont="1" applyFill="1"/>
    <xf numFmtId="0" fontId="14" fillId="4" borderId="0" xfId="1" applyFont="1" applyFill="1"/>
    <xf numFmtId="0" fontId="19" fillId="4" borderId="0" xfId="1" applyFont="1" applyFill="1" applyAlignment="1">
      <alignment horizontal="right"/>
    </xf>
    <xf numFmtId="0" fontId="19" fillId="0" borderId="0" xfId="1" applyFont="1" applyAlignment="1">
      <alignment horizontal="right" vertical="center"/>
    </xf>
    <xf numFmtId="176" fontId="24" fillId="0" borderId="0" xfId="4" applyFont="1" applyFill="1" applyAlignment="1">
      <alignment horizontal="centerContinuous" vertical="center"/>
    </xf>
    <xf numFmtId="176" fontId="24" fillId="0" borderId="0" xfId="4" applyFont="1" applyFill="1" applyBorder="1" applyAlignment="1">
      <alignment horizontal="centerContinuous" vertical="center"/>
    </xf>
    <xf numFmtId="0" fontId="4" fillId="0" borderId="0" xfId="1" applyFont="1" applyAlignment="1">
      <alignment horizontal="right"/>
    </xf>
    <xf numFmtId="0" fontId="17" fillId="0" borderId="0" xfId="1" applyFont="1"/>
    <xf numFmtId="176" fontId="25" fillId="0" borderId="0" xfId="4" applyFont="1" applyFill="1" applyAlignment="1">
      <alignment horizontal="center" vertical="center"/>
    </xf>
    <xf numFmtId="176" fontId="24" fillId="0" borderId="0" xfId="4" applyFont="1" applyFill="1" applyBorder="1" applyAlignment="1">
      <alignment horizontal="center" vertical="center"/>
    </xf>
    <xf numFmtId="176" fontId="24" fillId="0" borderId="0" xfId="4" applyFont="1" applyFill="1" applyAlignment="1">
      <alignment horizontal="center" vertical="center"/>
    </xf>
    <xf numFmtId="6" fontId="19" fillId="0" borderId="0" xfId="1" applyNumberFormat="1" applyFont="1" applyAlignment="1">
      <alignment vertical="center"/>
    </xf>
    <xf numFmtId="0" fontId="19" fillId="0" borderId="0" xfId="1" applyFont="1" applyAlignment="1">
      <alignment horizontal="left" vertical="center"/>
    </xf>
    <xf numFmtId="37" fontId="13" fillId="3" borderId="0" xfId="1" applyNumberFormat="1" applyFont="1" applyFill="1" applyAlignment="1">
      <alignment horizontal="right" vertical="center"/>
    </xf>
    <xf numFmtId="0" fontId="21" fillId="0" borderId="0" xfId="1" applyFont="1" applyAlignment="1">
      <alignment vertical="center"/>
    </xf>
    <xf numFmtId="0" fontId="19" fillId="0" borderId="4" xfId="1" applyFont="1" applyBorder="1" applyAlignment="1">
      <alignment vertical="center"/>
    </xf>
    <xf numFmtId="37" fontId="5" fillId="0" borderId="0" xfId="2" applyNumberFormat="1" applyFont="1" applyBorder="1" applyAlignment="1">
      <alignment vertical="center"/>
    </xf>
    <xf numFmtId="37" fontId="10" fillId="0" borderId="0" xfId="2" applyNumberFormat="1" applyFont="1" applyBorder="1" applyAlignment="1">
      <alignment vertical="center"/>
    </xf>
    <xf numFmtId="169" fontId="22" fillId="0" borderId="0" xfId="2" applyNumberFormat="1" applyFont="1" applyBorder="1" applyAlignment="1">
      <alignment vertical="center"/>
    </xf>
    <xf numFmtId="0" fontId="28" fillId="0" borderId="2" xfId="1" applyFont="1" applyBorder="1" applyAlignment="1">
      <alignment vertical="center"/>
    </xf>
    <xf numFmtId="37" fontId="8" fillId="4" borderId="0" xfId="2" applyNumberFormat="1" applyFont="1" applyFill="1" applyBorder="1" applyAlignment="1">
      <alignment vertical="center"/>
    </xf>
    <xf numFmtId="0" fontId="19" fillId="0" borderId="1" xfId="1" applyFont="1" applyBorder="1" applyAlignment="1">
      <alignment vertical="center"/>
    </xf>
    <xf numFmtId="37" fontId="16" fillId="4" borderId="0" xfId="2" applyNumberFormat="1" applyFont="1" applyFill="1" applyBorder="1" applyAlignment="1">
      <alignment vertical="center"/>
    </xf>
    <xf numFmtId="0" fontId="21" fillId="0" borderId="4" xfId="1" applyFont="1" applyBorder="1" applyAlignment="1">
      <alignment vertical="center"/>
    </xf>
    <xf numFmtId="37" fontId="10" fillId="4" borderId="4" xfId="2" applyNumberFormat="1" applyFont="1" applyFill="1" applyBorder="1" applyAlignment="1">
      <alignment vertical="center"/>
    </xf>
    <xf numFmtId="0" fontId="21" fillId="0" borderId="2" xfId="1" applyFont="1" applyBorder="1" applyAlignment="1">
      <alignment vertical="center"/>
    </xf>
    <xf numFmtId="169" fontId="28" fillId="0" borderId="2" xfId="2" applyNumberFormat="1" applyFont="1" applyBorder="1" applyAlignment="1">
      <alignment vertical="center"/>
    </xf>
    <xf numFmtId="37" fontId="21" fillId="0" borderId="0" xfId="2" applyNumberFormat="1" applyFont="1" applyBorder="1" applyAlignment="1">
      <alignment vertical="center"/>
    </xf>
    <xf numFmtId="0" fontId="21" fillId="0" borderId="4" xfId="1" applyFont="1" applyBorder="1" applyAlignment="1">
      <alignment horizontal="left" vertical="center"/>
    </xf>
    <xf numFmtId="0" fontId="21" fillId="4" borderId="4" xfId="1" applyFont="1" applyFill="1" applyBorder="1" applyAlignment="1">
      <alignment vertical="center"/>
    </xf>
    <xf numFmtId="0" fontId="28" fillId="0" borderId="0" xfId="1" applyFont="1" applyAlignment="1">
      <alignment vertical="center"/>
    </xf>
    <xf numFmtId="169" fontId="28" fillId="0" borderId="0" xfId="2" applyNumberFormat="1" applyFont="1" applyBorder="1" applyAlignment="1">
      <alignment vertical="center"/>
    </xf>
    <xf numFmtId="0" fontId="19" fillId="0" borderId="2" xfId="1" applyFont="1" applyBorder="1" applyAlignment="1">
      <alignment vertical="center"/>
    </xf>
    <xf numFmtId="37" fontId="11" fillId="0" borderId="0" xfId="2" applyNumberFormat="1" applyFont="1" applyBorder="1" applyAlignment="1">
      <alignment vertical="center"/>
    </xf>
    <xf numFmtId="0" fontId="6" fillId="2" borderId="0" xfId="1" applyFont="1" applyFill="1" applyAlignment="1">
      <alignment vertical="center"/>
    </xf>
    <xf numFmtId="0" fontId="21" fillId="2" borderId="0" xfId="1" applyFont="1" applyFill="1" applyAlignment="1">
      <alignment vertical="center"/>
    </xf>
    <xf numFmtId="174" fontId="6" fillId="2" borderId="2" xfId="1" applyNumberFormat="1" applyFont="1" applyFill="1" applyBorder="1" applyAlignment="1">
      <alignment vertical="center"/>
    </xf>
    <xf numFmtId="179" fontId="6" fillId="2" borderId="2" xfId="1" applyNumberFormat="1" applyFont="1" applyFill="1" applyBorder="1" applyAlignment="1">
      <alignment vertical="center"/>
    </xf>
    <xf numFmtId="175" fontId="6" fillId="2" borderId="2" xfId="1" applyNumberFormat="1" applyFont="1" applyFill="1" applyBorder="1" applyAlignment="1">
      <alignment vertical="center"/>
    </xf>
    <xf numFmtId="175" fontId="6" fillId="0" borderId="0" xfId="1" applyNumberFormat="1" applyFont="1" applyAlignment="1">
      <alignment vertical="center"/>
    </xf>
    <xf numFmtId="37" fontId="16" fillId="0" borderId="0" xfId="1" applyNumberFormat="1" applyFont="1" applyAlignment="1">
      <alignment vertical="center"/>
    </xf>
    <xf numFmtId="37" fontId="9" fillId="0" borderId="0" xfId="1" applyNumberFormat="1" applyFont="1" applyAlignment="1">
      <alignment vertical="center"/>
    </xf>
    <xf numFmtId="37" fontId="5" fillId="0" borderId="4" xfId="1" applyNumberFormat="1" applyFont="1" applyBorder="1" applyAlignment="1">
      <alignment vertical="center"/>
    </xf>
    <xf numFmtId="37" fontId="5" fillId="0" borderId="14" xfId="1" applyNumberFormat="1" applyFont="1" applyBorder="1" applyAlignment="1">
      <alignment vertical="center"/>
    </xf>
    <xf numFmtId="37" fontId="29" fillId="0" borderId="0" xfId="1" applyNumberFormat="1" applyFont="1" applyAlignment="1">
      <alignment vertical="center"/>
    </xf>
    <xf numFmtId="37" fontId="29" fillId="0" borderId="13" xfId="1" applyNumberFormat="1" applyFont="1" applyBorder="1" applyAlignment="1">
      <alignment vertical="center"/>
    </xf>
    <xf numFmtId="37" fontId="5" fillId="0" borderId="0" xfId="1" applyNumberFormat="1" applyFont="1" applyAlignment="1">
      <alignment vertical="center"/>
    </xf>
    <xf numFmtId="37" fontId="16" fillId="0" borderId="4" xfId="1" applyNumberFormat="1" applyFont="1" applyBorder="1" applyAlignment="1">
      <alignment vertical="center"/>
    </xf>
    <xf numFmtId="180" fontId="11" fillId="0" borderId="0" xfId="2" applyNumberFormat="1" applyFont="1" applyFill="1" applyAlignment="1">
      <alignment horizontal="right" vertical="center"/>
    </xf>
    <xf numFmtId="10" fontId="19" fillId="0" borderId="0" xfId="3" applyNumberFormat="1" applyFont="1" applyAlignment="1">
      <alignment vertical="center"/>
    </xf>
    <xf numFmtId="0" fontId="19" fillId="2" borderId="0" xfId="1" applyFont="1" applyFill="1" applyAlignment="1">
      <alignment vertical="center"/>
    </xf>
    <xf numFmtId="172" fontId="13" fillId="3" borderId="0" xfId="1" applyNumberFormat="1" applyFont="1" applyFill="1" applyAlignment="1">
      <alignment horizontal="right" vertical="center"/>
    </xf>
    <xf numFmtId="0" fontId="14" fillId="2" borderId="0" xfId="1" applyFont="1" applyFill="1" applyAlignment="1">
      <alignment horizontal="right" vertical="center"/>
    </xf>
    <xf numFmtId="37" fontId="19" fillId="0" borderId="0" xfId="2" applyNumberFormat="1" applyFont="1" applyAlignment="1">
      <alignment vertical="center"/>
    </xf>
    <xf numFmtId="6" fontId="19" fillId="0" borderId="2" xfId="1" applyNumberFormat="1" applyFont="1" applyBorder="1" applyAlignment="1">
      <alignment vertical="center"/>
    </xf>
    <xf numFmtId="37" fontId="21" fillId="0" borderId="0" xfId="2" applyNumberFormat="1" applyFont="1" applyFill="1" applyAlignment="1">
      <alignment vertical="center"/>
    </xf>
    <xf numFmtId="37" fontId="9" fillId="0" borderId="0" xfId="2" applyNumberFormat="1" applyFont="1" applyFill="1" applyAlignment="1">
      <alignment vertical="center"/>
    </xf>
    <xf numFmtId="37" fontId="19" fillId="0" borderId="2" xfId="2" applyNumberFormat="1" applyFont="1" applyBorder="1" applyAlignment="1">
      <alignment vertical="center"/>
    </xf>
    <xf numFmtId="37" fontId="19" fillId="0" borderId="0" xfId="1" applyNumberFormat="1" applyFont="1" applyAlignment="1">
      <alignment vertical="center"/>
    </xf>
    <xf numFmtId="1" fontId="10" fillId="0" borderId="0" xfId="2" applyNumberFormat="1" applyFont="1" applyBorder="1" applyAlignment="1">
      <alignment horizontal="center" vertical="center"/>
    </xf>
    <xf numFmtId="0" fontId="30" fillId="2" borderId="0" xfId="1" applyFont="1" applyFill="1" applyAlignment="1">
      <alignment vertical="center"/>
    </xf>
    <xf numFmtId="167" fontId="30" fillId="2" borderId="0" xfId="2" applyNumberFormat="1" applyFont="1" applyFill="1" applyBorder="1" applyAlignment="1">
      <alignment horizontal="right" vertical="center"/>
    </xf>
    <xf numFmtId="3" fontId="9" fillId="0" borderId="0" xfId="2" applyNumberFormat="1" applyFont="1" applyAlignment="1">
      <alignment vertical="center"/>
    </xf>
    <xf numFmtId="37" fontId="9" fillId="0" borderId="0" xfId="2" applyNumberFormat="1" applyFont="1" applyBorder="1" applyAlignment="1">
      <alignment vertical="center"/>
    </xf>
    <xf numFmtId="37" fontId="4" fillId="0" borderId="0" xfId="2" applyNumberFormat="1" applyFont="1" applyFill="1" applyAlignment="1">
      <alignment horizontal="right" vertical="center"/>
    </xf>
    <xf numFmtId="37" fontId="4" fillId="0" borderId="0" xfId="2" applyNumberFormat="1" applyFont="1" applyFill="1" applyBorder="1" applyAlignment="1">
      <alignment horizontal="right" vertical="center"/>
    </xf>
    <xf numFmtId="6" fontId="12" fillId="0" borderId="0" xfId="2" applyNumberFormat="1" applyFont="1" applyFill="1" applyAlignment="1">
      <alignment horizontal="right" vertical="center"/>
    </xf>
    <xf numFmtId="6" fontId="12" fillId="0" borderId="0" xfId="2" applyNumberFormat="1" applyFont="1" applyFill="1" applyBorder="1" applyAlignment="1">
      <alignment horizontal="right" vertical="center"/>
    </xf>
    <xf numFmtId="3" fontId="4" fillId="0" borderId="0" xfId="2" applyNumberFormat="1" applyFont="1" applyAlignment="1">
      <alignment vertical="center"/>
    </xf>
    <xf numFmtId="0" fontId="19" fillId="0" borderId="4" xfId="1" applyFont="1" applyBorder="1" applyAlignment="1">
      <alignment horizontal="left" vertical="center"/>
    </xf>
    <xf numFmtId="37" fontId="4" fillId="0" borderId="4" xfId="2" applyNumberFormat="1" applyFont="1" applyBorder="1" applyAlignment="1">
      <alignment vertical="center"/>
    </xf>
    <xf numFmtId="0" fontId="19" fillId="0" borderId="1" xfId="1" applyFont="1" applyBorder="1" applyAlignment="1">
      <alignment horizontal="left" vertical="center"/>
    </xf>
    <xf numFmtId="169" fontId="4" fillId="0" borderId="1" xfId="2" applyNumberFormat="1" applyFont="1" applyBorder="1" applyAlignment="1">
      <alignment vertical="center"/>
    </xf>
    <xf numFmtId="0" fontId="19" fillId="0" borderId="2" xfId="1" applyFont="1" applyBorder="1" applyAlignment="1">
      <alignment horizontal="left" vertical="center"/>
    </xf>
    <xf numFmtId="3" fontId="4" fillId="0" borderId="2" xfId="2" applyNumberFormat="1" applyFont="1" applyBorder="1" applyAlignment="1">
      <alignment vertical="center"/>
    </xf>
    <xf numFmtId="37" fontId="4" fillId="0" borderId="2" xfId="2" applyNumberFormat="1" applyFont="1" applyBorder="1" applyAlignment="1">
      <alignment vertical="center"/>
    </xf>
    <xf numFmtId="6" fontId="30" fillId="2" borderId="0" xfId="2" applyNumberFormat="1" applyFont="1" applyFill="1" applyBorder="1" applyAlignment="1">
      <alignment horizontal="right" vertical="center"/>
    </xf>
    <xf numFmtId="167" fontId="30" fillId="2" borderId="13" xfId="2" applyNumberFormat="1" applyFont="1" applyFill="1" applyBorder="1" applyAlignment="1">
      <alignment horizontal="right" vertical="center"/>
    </xf>
    <xf numFmtId="183" fontId="21" fillId="0" borderId="0" xfId="8" applyFont="1" applyFill="1" applyBorder="1" applyAlignment="1">
      <alignment vertical="center"/>
    </xf>
    <xf numFmtId="0" fontId="4" fillId="0" borderId="0" xfId="6" applyFont="1">
      <alignment vertical="center"/>
    </xf>
    <xf numFmtId="184" fontId="4" fillId="0" borderId="0" xfId="9" applyNumberFormat="1" applyFont="1" applyFill="1" applyBorder="1" applyAlignment="1">
      <alignment vertical="center"/>
    </xf>
    <xf numFmtId="9" fontId="4" fillId="0" borderId="0" xfId="10" applyFont="1" applyFill="1" applyBorder="1" applyAlignment="1">
      <alignment vertical="center"/>
    </xf>
    <xf numFmtId="183" fontId="19" fillId="0" borderId="0" xfId="8" applyFont="1" applyFill="1" applyAlignment="1">
      <alignment vertical="center"/>
    </xf>
    <xf numFmtId="184" fontId="16" fillId="0" borderId="0" xfId="9" applyNumberFormat="1" applyFont="1" applyAlignment="1">
      <alignment vertical="center"/>
    </xf>
    <xf numFmtId="184" fontId="4" fillId="0" borderId="0" xfId="9" applyNumberFormat="1" applyFont="1" applyAlignment="1">
      <alignment vertical="center"/>
    </xf>
    <xf numFmtId="183" fontId="19" fillId="0" borderId="2" xfId="8" applyFont="1" applyFill="1" applyBorder="1" applyAlignment="1">
      <alignment vertical="center"/>
    </xf>
    <xf numFmtId="0" fontId="4" fillId="0" borderId="2" xfId="6" applyFont="1" applyBorder="1">
      <alignment vertical="center"/>
    </xf>
    <xf numFmtId="184" fontId="16" fillId="0" borderId="2" xfId="9" applyNumberFormat="1" applyFont="1" applyBorder="1" applyAlignment="1">
      <alignment vertical="center"/>
    </xf>
    <xf numFmtId="184" fontId="4" fillId="0" borderId="2" xfId="9" applyNumberFormat="1" applyFont="1" applyBorder="1" applyAlignment="1">
      <alignment vertical="center"/>
    </xf>
    <xf numFmtId="183" fontId="19" fillId="0" borderId="1" xfId="8" applyFont="1" applyFill="1" applyBorder="1" applyAlignment="1">
      <alignment vertical="center"/>
    </xf>
    <xf numFmtId="0" fontId="4" fillId="0" borderId="1" xfId="6" applyFont="1" applyBorder="1">
      <alignment vertical="center"/>
    </xf>
    <xf numFmtId="184" fontId="4" fillId="0" borderId="1" xfId="9" applyNumberFormat="1" applyFont="1" applyBorder="1" applyAlignment="1">
      <alignment vertical="center"/>
    </xf>
    <xf numFmtId="183" fontId="19" fillId="0" borderId="0" xfId="8" applyFont="1" applyFill="1" applyBorder="1" applyAlignment="1">
      <alignment horizontal="left" vertical="center"/>
    </xf>
    <xf numFmtId="183" fontId="19" fillId="0" borderId="0" xfId="8" applyFont="1" applyFill="1" applyBorder="1" applyAlignment="1">
      <alignment vertical="center"/>
    </xf>
    <xf numFmtId="184" fontId="4" fillId="0" borderId="0" xfId="9" applyNumberFormat="1" applyFont="1" applyFill="1" applyAlignment="1">
      <alignment vertical="center"/>
    </xf>
    <xf numFmtId="184" fontId="31" fillId="0" borderId="0" xfId="9" applyNumberFormat="1" applyFont="1" applyFill="1" applyAlignment="1">
      <alignment vertical="center"/>
    </xf>
    <xf numFmtId="184" fontId="4" fillId="0" borderId="4" xfId="9" applyNumberFormat="1" applyFont="1" applyFill="1" applyBorder="1" applyAlignment="1">
      <alignment vertical="center"/>
    </xf>
    <xf numFmtId="183" fontId="21" fillId="0" borderId="0" xfId="8" applyFont="1" applyFill="1" applyAlignment="1">
      <alignment vertical="center"/>
    </xf>
    <xf numFmtId="0" fontId="32" fillId="0" borderId="0" xfId="6" applyFont="1">
      <alignment vertical="center"/>
    </xf>
    <xf numFmtId="0" fontId="12" fillId="0" borderId="0" xfId="6" applyFont="1">
      <alignment vertical="center"/>
    </xf>
    <xf numFmtId="184" fontId="4" fillId="0" borderId="1" xfId="9" applyNumberFormat="1" applyFont="1" applyFill="1" applyBorder="1" applyAlignment="1">
      <alignment vertical="center"/>
    </xf>
    <xf numFmtId="37" fontId="4" fillId="0" borderId="2" xfId="2" applyNumberFormat="1" applyFont="1" applyFill="1" applyBorder="1" applyAlignment="1">
      <alignment horizontal="right" vertical="center"/>
    </xf>
    <xf numFmtId="6" fontId="33" fillId="0" borderId="0" xfId="2" applyNumberFormat="1" applyFont="1" applyFill="1" applyAlignment="1">
      <alignment horizontal="right" vertical="center"/>
    </xf>
    <xf numFmtId="37" fontId="5" fillId="0" borderId="0" xfId="2" applyNumberFormat="1" applyFont="1" applyFill="1" applyAlignment="1">
      <alignment horizontal="right" vertical="center"/>
    </xf>
    <xf numFmtId="37" fontId="5" fillId="0" borderId="0" xfId="2" applyNumberFormat="1" applyFont="1" applyFill="1" applyBorder="1" applyAlignment="1">
      <alignment horizontal="right" vertical="center"/>
    </xf>
    <xf numFmtId="0" fontId="20" fillId="0" borderId="0" xfId="1" applyFont="1" applyAlignment="1">
      <alignment vertical="center"/>
    </xf>
    <xf numFmtId="37" fontId="19" fillId="0" borderId="0" xfId="1" applyNumberFormat="1" applyFont="1"/>
    <xf numFmtId="0" fontId="19" fillId="0" borderId="4" xfId="1" applyFont="1" applyBorder="1"/>
    <xf numFmtId="0" fontId="21" fillId="0" borderId="0" xfId="1" applyFont="1"/>
    <xf numFmtId="4" fontId="19" fillId="0" borderId="0" xfId="1" applyNumberFormat="1" applyFont="1"/>
    <xf numFmtId="1" fontId="21" fillId="0" borderId="0" xfId="2" applyNumberFormat="1" applyFont="1" applyBorder="1" applyAlignment="1">
      <alignment horizontal="center" vertical="center"/>
    </xf>
    <xf numFmtId="9" fontId="19" fillId="0" borderId="0" xfId="1" applyNumberFormat="1" applyFont="1"/>
    <xf numFmtId="0" fontId="3" fillId="0" borderId="0" xfId="1" applyFont="1" applyAlignment="1">
      <alignment vertical="center"/>
    </xf>
    <xf numFmtId="49" fontId="34" fillId="0" borderId="0" xfId="1" applyNumberFormat="1" applyFont="1" applyAlignment="1">
      <alignment horizontal="left" vertical="center"/>
    </xf>
    <xf numFmtId="37" fontId="9" fillId="4" borderId="0" xfId="2" applyNumberFormat="1" applyFont="1" applyFill="1" applyAlignment="1">
      <alignment vertical="center"/>
    </xf>
    <xf numFmtId="49" fontId="10" fillId="0" borderId="4" xfId="1" applyNumberFormat="1" applyFont="1" applyBorder="1" applyAlignment="1">
      <alignment horizontal="left" vertical="center"/>
    </xf>
    <xf numFmtId="49" fontId="8" fillId="6" borderId="0" xfId="1" applyNumberFormat="1" applyFont="1" applyFill="1" applyAlignment="1">
      <alignment horizontal="left" vertical="center"/>
    </xf>
    <xf numFmtId="49" fontId="8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167" fontId="21" fillId="4" borderId="0" xfId="2" applyNumberFormat="1" applyFont="1" applyFill="1" applyAlignment="1">
      <alignment horizontal="right" vertical="center"/>
    </xf>
    <xf numFmtId="167" fontId="21" fillId="0" borderId="0" xfId="2" applyNumberFormat="1" applyFont="1" applyFill="1" applyAlignment="1">
      <alignment horizontal="right" vertical="center"/>
    </xf>
    <xf numFmtId="169" fontId="19" fillId="0" borderId="0" xfId="1" applyNumberFormat="1" applyFont="1" applyAlignment="1">
      <alignment horizontal="right" vertical="center"/>
    </xf>
    <xf numFmtId="0" fontId="10" fillId="0" borderId="1" xfId="1" applyFont="1" applyBorder="1" applyAlignment="1">
      <alignment horizontal="left" vertical="center"/>
    </xf>
    <xf numFmtId="4" fontId="12" fillId="4" borderId="0" xfId="2" applyNumberFormat="1" applyFont="1" applyFill="1" applyAlignment="1">
      <alignment vertical="center"/>
    </xf>
    <xf numFmtId="0" fontId="1" fillId="4" borderId="0" xfId="1" applyFill="1"/>
    <xf numFmtId="176" fontId="25" fillId="0" borderId="2" xfId="4" applyFont="1" applyFill="1" applyBorder="1" applyAlignment="1">
      <alignment horizontal="center" vertical="center"/>
    </xf>
    <xf numFmtId="176" fontId="24" fillId="0" borderId="2" xfId="4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6" applyFont="1">
      <alignment vertical="center"/>
    </xf>
    <xf numFmtId="0" fontId="4" fillId="4" borderId="0" xfId="6" applyFont="1" applyFill="1">
      <alignment vertical="center"/>
    </xf>
    <xf numFmtId="183" fontId="6" fillId="2" borderId="0" xfId="8" applyFont="1" applyFill="1" applyAlignment="1">
      <alignment vertical="center"/>
    </xf>
    <xf numFmtId="0" fontId="4" fillId="2" borderId="0" xfId="6" applyFont="1" applyFill="1">
      <alignment vertical="center"/>
    </xf>
    <xf numFmtId="0" fontId="12" fillId="2" borderId="0" xfId="6" applyFont="1" applyFill="1">
      <alignment vertical="center"/>
    </xf>
    <xf numFmtId="0" fontId="4" fillId="0" borderId="0" xfId="0" applyFont="1"/>
    <xf numFmtId="0" fontId="4" fillId="0" borderId="2" xfId="0" applyFont="1" applyBorder="1"/>
    <xf numFmtId="37" fontId="4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left" inden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/>
    <xf numFmtId="183" fontId="6" fillId="4" borderId="0" xfId="8" applyFont="1" applyFill="1" applyAlignment="1">
      <alignment vertical="center"/>
    </xf>
    <xf numFmtId="0" fontId="12" fillId="4" borderId="0" xfId="6" applyFont="1" applyFill="1">
      <alignment vertical="center"/>
    </xf>
    <xf numFmtId="168" fontId="12" fillId="4" borderId="0" xfId="2" applyNumberFormat="1" applyFont="1" applyFill="1" applyAlignment="1">
      <alignment vertical="center"/>
    </xf>
    <xf numFmtId="3" fontId="9" fillId="4" borderId="0" xfId="2" applyNumberFormat="1" applyFont="1" applyFill="1" applyAlignment="1">
      <alignment vertical="center"/>
    </xf>
    <xf numFmtId="3" fontId="21" fillId="4" borderId="4" xfId="2" applyNumberFormat="1" applyFont="1" applyFill="1" applyBorder="1" applyAlignment="1">
      <alignment horizontal="right" vertical="center"/>
    </xf>
    <xf numFmtId="3" fontId="10" fillId="4" borderId="1" xfId="2" applyNumberFormat="1" applyFont="1" applyFill="1" applyBorder="1" applyAlignment="1">
      <alignment vertical="center"/>
    </xf>
    <xf numFmtId="3" fontId="19" fillId="0" borderId="0" xfId="1" applyNumberFormat="1" applyFont="1" applyAlignment="1">
      <alignment horizontal="right" vertical="center"/>
    </xf>
    <xf numFmtId="3" fontId="18" fillId="4" borderId="0" xfId="2" applyNumberFormat="1" applyFont="1" applyFill="1" applyAlignment="1">
      <alignment vertical="center"/>
    </xf>
    <xf numFmtId="3" fontId="9" fillId="4" borderId="2" xfId="2" applyNumberFormat="1" applyFont="1" applyFill="1" applyBorder="1" applyAlignment="1">
      <alignment vertical="center"/>
    </xf>
    <xf numFmtId="3" fontId="21" fillId="4" borderId="0" xfId="2" applyNumberFormat="1" applyFont="1" applyFill="1" applyAlignment="1">
      <alignment horizontal="right" vertical="center"/>
    </xf>
    <xf numFmtId="3" fontId="5" fillId="4" borderId="4" xfId="2" applyNumberFormat="1" applyFont="1" applyFill="1" applyBorder="1" applyAlignment="1">
      <alignment vertical="center"/>
    </xf>
    <xf numFmtId="0" fontId="4" fillId="0" borderId="7" xfId="0" applyFont="1" applyBorder="1"/>
    <xf numFmtId="183" fontId="6" fillId="2" borderId="0" xfId="8" applyFont="1" applyFill="1" applyAlignment="1">
      <alignment horizontal="center" vertical="center"/>
    </xf>
    <xf numFmtId="183" fontId="5" fillId="2" borderId="0" xfId="8" applyFont="1" applyFill="1" applyAlignment="1">
      <alignment horizontal="center" vertical="center"/>
    </xf>
    <xf numFmtId="183" fontId="5" fillId="4" borderId="0" xfId="8" applyFont="1" applyFill="1" applyAlignment="1">
      <alignment horizontal="center" vertical="center"/>
    </xf>
    <xf numFmtId="37" fontId="8" fillId="0" borderId="0" xfId="2" applyNumberFormat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169" fontId="9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37" fontId="4" fillId="0" borderId="1" xfId="0" applyNumberFormat="1" applyFont="1" applyBorder="1" applyAlignment="1">
      <alignment vertical="center"/>
    </xf>
    <xf numFmtId="37" fontId="4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3" fontId="11" fillId="0" borderId="0" xfId="1" applyNumberFormat="1" applyFont="1" applyAlignment="1">
      <alignment vertical="center"/>
    </xf>
    <xf numFmtId="37" fontId="10" fillId="0" borderId="4" xfId="2" applyNumberFormat="1" applyFont="1" applyBorder="1" applyAlignment="1">
      <alignment horizontal="right" vertical="center"/>
    </xf>
    <xf numFmtId="37" fontId="10" fillId="0" borderId="0" xfId="2" applyNumberFormat="1" applyFont="1" applyBorder="1" applyAlignment="1">
      <alignment horizontal="right" vertical="center"/>
    </xf>
    <xf numFmtId="37" fontId="9" fillId="0" borderId="0" xfId="2" applyNumberFormat="1" applyFont="1" applyBorder="1" applyAlignment="1">
      <alignment horizontal="right" vertical="center"/>
    </xf>
    <xf numFmtId="3" fontId="19" fillId="0" borderId="0" xfId="1" applyNumberFormat="1" applyFont="1" applyAlignment="1">
      <alignment vertical="center"/>
    </xf>
    <xf numFmtId="0" fontId="5" fillId="0" borderId="2" xfId="0" applyFont="1" applyBorder="1"/>
    <xf numFmtId="37" fontId="4" fillId="0" borderId="10" xfId="2" applyNumberFormat="1" applyFont="1" applyFill="1" applyBorder="1" applyAlignment="1">
      <alignment horizontal="right" vertical="center"/>
    </xf>
    <xf numFmtId="37" fontId="4" fillId="0" borderId="11" xfId="2" applyNumberFormat="1" applyFont="1" applyFill="1" applyBorder="1" applyAlignment="1">
      <alignment horizontal="right" vertical="center"/>
    </xf>
    <xf numFmtId="37" fontId="5" fillId="0" borderId="8" xfId="2" applyNumberFormat="1" applyFont="1" applyFill="1" applyBorder="1" applyAlignment="1">
      <alignment horizontal="right" vertical="center"/>
    </xf>
    <xf numFmtId="37" fontId="5" fillId="0" borderId="9" xfId="2" applyNumberFormat="1" applyFont="1" applyFill="1" applyBorder="1" applyAlignment="1">
      <alignment horizontal="right" vertical="center"/>
    </xf>
    <xf numFmtId="37" fontId="5" fillId="0" borderId="5" xfId="2" applyNumberFormat="1" applyFont="1" applyFill="1" applyBorder="1" applyAlignment="1">
      <alignment horizontal="right" vertical="center"/>
    </xf>
    <xf numFmtId="37" fontId="5" fillId="0" borderId="6" xfId="2" applyNumberFormat="1" applyFont="1" applyFill="1" applyBorder="1" applyAlignment="1">
      <alignment horizontal="right" vertical="center"/>
    </xf>
    <xf numFmtId="37" fontId="10" fillId="0" borderId="1" xfId="2" applyNumberFormat="1" applyFont="1" applyBorder="1" applyAlignment="1">
      <alignment horizontal="right" vertical="center"/>
    </xf>
    <xf numFmtId="37" fontId="5" fillId="0" borderId="1" xfId="1" applyNumberFormat="1" applyFont="1" applyBorder="1" applyAlignme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37" fontId="5" fillId="0" borderId="10" xfId="2" applyNumberFormat="1" applyFont="1" applyFill="1" applyBorder="1" applyAlignment="1">
      <alignment horizontal="right" vertical="center"/>
    </xf>
    <xf numFmtId="37" fontId="5" fillId="0" borderId="11" xfId="2" applyNumberFormat="1" applyFont="1" applyFill="1" applyBorder="1" applyAlignment="1">
      <alignment horizontal="right" vertical="center"/>
    </xf>
    <xf numFmtId="37" fontId="17" fillId="0" borderId="0" xfId="2" applyNumberFormat="1" applyFont="1" applyBorder="1" applyAlignment="1">
      <alignment vertical="center"/>
    </xf>
    <xf numFmtId="169" fontId="17" fillId="0" borderId="0" xfId="2" applyNumberFormat="1" applyFont="1" applyBorder="1" applyAlignment="1">
      <alignment vertical="center"/>
    </xf>
    <xf numFmtId="0" fontId="19" fillId="0" borderId="0" xfId="1" applyFont="1" applyAlignment="1">
      <alignment horizontal="left" vertical="center" indent="1"/>
    </xf>
    <xf numFmtId="37" fontId="10" fillId="4" borderId="0" xfId="2" applyNumberFormat="1" applyFont="1" applyFill="1" applyBorder="1" applyAlignment="1">
      <alignment vertical="center"/>
    </xf>
    <xf numFmtId="0" fontId="19" fillId="4" borderId="0" xfId="1" applyFont="1" applyFill="1" applyAlignment="1">
      <alignment horizontal="left" vertical="center"/>
    </xf>
    <xf numFmtId="37" fontId="35" fillId="0" borderId="0" xfId="2" applyNumberFormat="1" applyFont="1" applyBorder="1" applyAlignment="1">
      <alignment vertical="center"/>
    </xf>
    <xf numFmtId="37" fontId="35" fillId="4" borderId="0" xfId="2" applyNumberFormat="1" applyFont="1" applyFill="1" applyBorder="1" applyAlignment="1">
      <alignment vertical="center"/>
    </xf>
    <xf numFmtId="0" fontId="28" fillId="0" borderId="0" xfId="1" applyFont="1" applyAlignment="1">
      <alignment horizontal="left" vertical="center"/>
    </xf>
    <xf numFmtId="0" fontId="19" fillId="0" borderId="2" xfId="1" applyFont="1" applyBorder="1" applyAlignment="1">
      <alignment horizontal="left" vertical="center" indent="1"/>
    </xf>
    <xf numFmtId="37" fontId="35" fillId="4" borderId="2" xfId="2" applyNumberFormat="1" applyFont="1" applyFill="1" applyBorder="1" applyAlignment="1">
      <alignment vertical="center"/>
    </xf>
    <xf numFmtId="37" fontId="35" fillId="0" borderId="2" xfId="2" applyNumberFormat="1" applyFont="1" applyBorder="1" applyAlignment="1">
      <alignment vertical="center"/>
    </xf>
    <xf numFmtId="37" fontId="9" fillId="4" borderId="0" xfId="2" applyNumberFormat="1" applyFont="1" applyFill="1" applyBorder="1" applyAlignment="1">
      <alignment vertical="center"/>
    </xf>
    <xf numFmtId="37" fontId="5" fillId="0" borderId="13" xfId="1" applyNumberFormat="1" applyFont="1" applyBorder="1" applyAlignment="1">
      <alignment vertical="center"/>
    </xf>
    <xf numFmtId="37" fontId="5" fillId="0" borderId="22" xfId="1" applyNumberFormat="1" applyFont="1" applyBorder="1" applyAlignment="1">
      <alignment vertical="center"/>
    </xf>
    <xf numFmtId="37" fontId="29" fillId="0" borderId="1" xfId="1" applyNumberFormat="1" applyFont="1" applyBorder="1" applyAlignment="1">
      <alignment vertical="center"/>
    </xf>
    <xf numFmtId="37" fontId="35" fillId="0" borderId="0" xfId="1" applyNumberFormat="1" applyFont="1" applyAlignment="1">
      <alignment vertical="center"/>
    </xf>
    <xf numFmtId="37" fontId="35" fillId="0" borderId="13" xfId="1" applyNumberFormat="1" applyFont="1" applyBorder="1" applyAlignment="1">
      <alignment vertical="center"/>
    </xf>
    <xf numFmtId="37" fontId="39" fillId="0" borderId="1" xfId="1" applyNumberFormat="1" applyFont="1" applyBorder="1" applyAlignment="1">
      <alignment vertical="center"/>
    </xf>
    <xf numFmtId="37" fontId="39" fillId="0" borderId="22" xfId="1" applyNumberFormat="1" applyFont="1" applyBorder="1" applyAlignment="1">
      <alignment vertical="center"/>
    </xf>
    <xf numFmtId="186" fontId="11" fillId="0" borderId="0" xfId="0" applyNumberFormat="1" applyFont="1" applyAlignment="1">
      <alignment vertical="center"/>
    </xf>
    <xf numFmtId="37" fontId="11" fillId="0" borderId="0" xfId="2" applyNumberFormat="1" applyFont="1" applyFill="1" applyAlignment="1">
      <alignment horizontal="right" vertical="center"/>
    </xf>
    <xf numFmtId="3" fontId="11" fillId="0" borderId="0" xfId="1" applyNumberFormat="1" applyFont="1"/>
    <xf numFmtId="6" fontId="19" fillId="0" borderId="4" xfId="1" applyNumberFormat="1" applyFont="1" applyBorder="1" applyAlignment="1">
      <alignment vertical="center"/>
    </xf>
    <xf numFmtId="37" fontId="21" fillId="0" borderId="4" xfId="2" applyNumberFormat="1" applyFont="1" applyFill="1" applyBorder="1" applyAlignment="1">
      <alignment vertical="center"/>
    </xf>
    <xf numFmtId="164" fontId="9" fillId="0" borderId="1" xfId="2" applyFont="1" applyBorder="1" applyAlignment="1">
      <alignment vertical="center"/>
    </xf>
    <xf numFmtId="37" fontId="35" fillId="0" borderId="0" xfId="2" applyNumberFormat="1" applyFont="1" applyAlignment="1">
      <alignment vertical="center"/>
    </xf>
    <xf numFmtId="0" fontId="28" fillId="0" borderId="0" xfId="1" applyFont="1" applyAlignment="1">
      <alignment horizontal="left" vertical="center" indent="1"/>
    </xf>
    <xf numFmtId="37" fontId="21" fillId="0" borderId="1" xfId="2" applyNumberFormat="1" applyFont="1" applyBorder="1" applyAlignment="1">
      <alignment vertical="center"/>
    </xf>
    <xf numFmtId="184" fontId="9" fillId="0" borderId="0" xfId="9" applyNumberFormat="1" applyFont="1" applyAlignment="1">
      <alignment vertical="center"/>
    </xf>
    <xf numFmtId="173" fontId="17" fillId="0" borderId="0" xfId="2" applyNumberFormat="1" applyFont="1" applyAlignment="1">
      <alignment vertical="center"/>
    </xf>
    <xf numFmtId="184" fontId="35" fillId="0" borderId="0" xfId="9" applyNumberFormat="1" applyFont="1" applyFill="1" applyBorder="1" applyAlignment="1">
      <alignment vertical="center"/>
    </xf>
    <xf numFmtId="184" fontId="35" fillId="0" borderId="0" xfId="9" applyNumberFormat="1" applyFont="1" applyFill="1" applyAlignment="1">
      <alignment vertical="center"/>
    </xf>
    <xf numFmtId="184" fontId="35" fillId="0" borderId="2" xfId="9" applyNumberFormat="1" applyFont="1" applyBorder="1" applyAlignment="1">
      <alignment vertical="center"/>
    </xf>
    <xf numFmtId="37" fontId="9" fillId="5" borderId="12" xfId="0" applyNumberFormat="1" applyFont="1" applyFill="1" applyBorder="1" applyAlignment="1">
      <alignment horizontal="center" vertical="center"/>
    </xf>
    <xf numFmtId="169" fontId="9" fillId="5" borderId="12" xfId="0" applyNumberFormat="1" applyFont="1" applyFill="1" applyBorder="1" applyAlignment="1">
      <alignment horizontal="center" vertical="center"/>
    </xf>
    <xf numFmtId="3" fontId="9" fillId="5" borderId="12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69" fontId="9" fillId="5" borderId="21" xfId="0" applyNumberFormat="1" applyFont="1" applyFill="1" applyBorder="1" applyAlignment="1">
      <alignment horizontal="center" vertical="center"/>
    </xf>
    <xf numFmtId="176" fontId="8" fillId="0" borderId="0" xfId="8" applyNumberFormat="1" applyFont="1" applyFill="1" applyAlignment="1">
      <alignment horizontal="left" vertical="center"/>
    </xf>
    <xf numFmtId="175" fontId="6" fillId="2" borderId="23" xfId="1" applyNumberFormat="1" applyFont="1" applyFill="1" applyBorder="1" applyAlignment="1">
      <alignment vertical="center"/>
    </xf>
    <xf numFmtId="0" fontId="19" fillId="0" borderId="23" xfId="1" applyFont="1" applyBorder="1" applyAlignment="1">
      <alignment vertical="center"/>
    </xf>
    <xf numFmtId="37" fontId="9" fillId="0" borderId="13" xfId="2" applyNumberFormat="1" applyFont="1" applyFill="1" applyBorder="1" applyAlignment="1">
      <alignment horizontal="right" vertical="center"/>
    </xf>
    <xf numFmtId="37" fontId="4" fillId="0" borderId="13" xfId="2" applyNumberFormat="1" applyFont="1" applyFill="1" applyBorder="1" applyAlignment="1">
      <alignment horizontal="right" vertical="center"/>
    </xf>
    <xf numFmtId="37" fontId="4" fillId="0" borderId="23" xfId="2" applyNumberFormat="1" applyFont="1" applyFill="1" applyBorder="1" applyAlignment="1">
      <alignment horizontal="right" vertical="center"/>
    </xf>
    <xf numFmtId="37" fontId="18" fillId="0" borderId="13" xfId="2" applyNumberFormat="1" applyFont="1" applyFill="1" applyBorder="1" applyAlignment="1">
      <alignment horizontal="right" vertical="center"/>
    </xf>
    <xf numFmtId="169" fontId="4" fillId="0" borderId="13" xfId="3" applyNumberFormat="1" applyFont="1" applyBorder="1" applyAlignment="1">
      <alignment vertical="center"/>
    </xf>
    <xf numFmtId="37" fontId="19" fillId="0" borderId="13" xfId="3" applyNumberFormat="1" applyFont="1" applyBorder="1" applyAlignment="1">
      <alignment vertical="center"/>
    </xf>
    <xf numFmtId="37" fontId="9" fillId="0" borderId="23" xfId="2" applyNumberFormat="1" applyFont="1" applyFill="1" applyBorder="1" applyAlignment="1">
      <alignment horizontal="right" vertical="center"/>
    </xf>
    <xf numFmtId="169" fontId="19" fillId="0" borderId="13" xfId="3" applyNumberFormat="1" applyFont="1" applyBorder="1" applyAlignment="1">
      <alignment vertical="center"/>
    </xf>
    <xf numFmtId="0" fontId="9" fillId="0" borderId="0" xfId="1" applyFont="1"/>
    <xf numFmtId="0" fontId="10" fillId="4" borderId="0" xfId="1" applyFont="1" applyFill="1"/>
    <xf numFmtId="0" fontId="8" fillId="4" borderId="0" xfId="1" applyFont="1" applyFill="1"/>
    <xf numFmtId="0" fontId="8" fillId="4" borderId="0" xfId="1" applyFont="1" applyFill="1" applyAlignment="1">
      <alignment vertical="center"/>
    </xf>
    <xf numFmtId="182" fontId="35" fillId="4" borderId="0" xfId="1" applyNumberFormat="1" applyFont="1" applyFill="1" applyAlignment="1">
      <alignment vertical="center"/>
    </xf>
    <xf numFmtId="37" fontId="35" fillId="4" borderId="0" xfId="1" applyNumberFormat="1" applyFont="1" applyFill="1" applyAlignment="1">
      <alignment vertical="center"/>
    </xf>
    <xf numFmtId="169" fontId="9" fillId="4" borderId="0" xfId="1" applyNumberFormat="1" applyFont="1" applyFill="1" applyAlignment="1">
      <alignment vertical="center"/>
    </xf>
    <xf numFmtId="188" fontId="9" fillId="4" borderId="0" xfId="1" applyNumberFormat="1" applyFont="1" applyFill="1" applyAlignment="1">
      <alignment vertical="center"/>
    </xf>
    <xf numFmtId="0" fontId="17" fillId="4" borderId="0" xfId="1" applyFont="1" applyFill="1"/>
    <xf numFmtId="0" fontId="8" fillId="4" borderId="0" xfId="1" applyFont="1" applyFill="1" applyAlignment="1">
      <alignment horizontal="center" vertical="center"/>
    </xf>
    <xf numFmtId="0" fontId="10" fillId="4" borderId="2" xfId="1" applyFont="1" applyFill="1" applyBorder="1" applyAlignment="1">
      <alignment vertical="center"/>
    </xf>
    <xf numFmtId="0" fontId="10" fillId="4" borderId="2" xfId="1" applyFont="1" applyFill="1" applyBorder="1" applyAlignment="1">
      <alignment horizontal="right" vertical="center"/>
    </xf>
    <xf numFmtId="37" fontId="5" fillId="0" borderId="13" xfId="2" applyNumberFormat="1" applyFont="1" applyFill="1" applyBorder="1" applyAlignment="1">
      <alignment horizontal="right" vertical="center"/>
    </xf>
    <xf numFmtId="169" fontId="9" fillId="5" borderId="24" xfId="0" applyNumberFormat="1" applyFont="1" applyFill="1" applyBorder="1" applyAlignment="1">
      <alignment horizontal="center" vertical="center"/>
    </xf>
    <xf numFmtId="0" fontId="9" fillId="0" borderId="4" xfId="1" applyFont="1" applyBorder="1"/>
    <xf numFmtId="37" fontId="19" fillId="0" borderId="4" xfId="1" applyNumberFormat="1" applyFont="1" applyBorder="1" applyAlignment="1">
      <alignment vertical="center"/>
    </xf>
    <xf numFmtId="37" fontId="19" fillId="0" borderId="0" xfId="3" applyNumberFormat="1" applyFont="1" applyBorder="1" applyAlignment="1">
      <alignment vertical="center"/>
    </xf>
    <xf numFmtId="37" fontId="9" fillId="0" borderId="2" xfId="2" applyNumberFormat="1" applyFont="1" applyFill="1" applyBorder="1" applyAlignment="1">
      <alignment vertical="center"/>
    </xf>
    <xf numFmtId="37" fontId="19" fillId="0" borderId="2" xfId="1" applyNumberFormat="1" applyFont="1" applyBorder="1" applyAlignment="1">
      <alignment vertical="center"/>
    </xf>
    <xf numFmtId="37" fontId="5" fillId="0" borderId="1" xfId="2" applyNumberFormat="1" applyFont="1" applyBorder="1" applyAlignment="1">
      <alignment vertical="center"/>
    </xf>
    <xf numFmtId="0" fontId="19" fillId="0" borderId="13" xfId="1" applyFont="1" applyBorder="1" applyAlignment="1">
      <alignment vertical="center"/>
    </xf>
    <xf numFmtId="0" fontId="19" fillId="0" borderId="14" xfId="1" applyFont="1" applyBorder="1" applyAlignment="1">
      <alignment vertical="center"/>
    </xf>
    <xf numFmtId="3" fontId="35" fillId="0" borderId="0" xfId="1" applyNumberFormat="1" applyFont="1" applyAlignment="1">
      <alignment vertical="center"/>
    </xf>
    <xf numFmtId="0" fontId="36" fillId="0" borderId="4" xfId="0" applyFont="1" applyBorder="1"/>
    <xf numFmtId="0" fontId="36" fillId="0" borderId="2" xfId="0" applyFont="1" applyBorder="1"/>
    <xf numFmtId="0" fontId="5" fillId="0" borderId="4" xfId="0" applyFont="1" applyBorder="1"/>
    <xf numFmtId="37" fontId="5" fillId="0" borderId="4" xfId="0" applyNumberFormat="1" applyFont="1" applyBorder="1"/>
    <xf numFmtId="37" fontId="12" fillId="0" borderId="0" xfId="0" applyNumberFormat="1" applyFont="1"/>
    <xf numFmtId="0" fontId="11" fillId="0" borderId="0" xfId="1" applyFont="1" applyAlignment="1">
      <alignment horizontal="right" vertical="center"/>
    </xf>
    <xf numFmtId="187" fontId="19" fillId="0" borderId="4" xfId="1" applyNumberFormat="1" applyFont="1" applyBorder="1" applyAlignment="1">
      <alignment vertical="center"/>
    </xf>
    <xf numFmtId="187" fontId="19" fillId="0" borderId="0" xfId="1" applyNumberFormat="1" applyFont="1" applyAlignment="1">
      <alignment vertical="center"/>
    </xf>
    <xf numFmtId="177" fontId="9" fillId="5" borderId="15" xfId="1" applyNumberFormat="1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177" fontId="9" fillId="5" borderId="17" xfId="1" applyNumberFormat="1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177" fontId="9" fillId="5" borderId="19" xfId="1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3" fontId="4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3" fontId="35" fillId="0" borderId="0" xfId="0" applyNumberFormat="1" applyFont="1" applyAlignment="1">
      <alignment vertical="center"/>
    </xf>
    <xf numFmtId="169" fontId="4" fillId="0" borderId="0" xfId="0" applyNumberFormat="1" applyFont="1" applyAlignment="1">
      <alignment horizontal="center" vertical="center"/>
    </xf>
    <xf numFmtId="37" fontId="35" fillId="0" borderId="0" xfId="0" applyNumberFormat="1" applyFont="1" applyAlignment="1">
      <alignment vertical="center"/>
    </xf>
    <xf numFmtId="169" fontId="22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9" fontId="26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69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 indent="1"/>
    </xf>
    <xf numFmtId="0" fontId="35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3" fontId="8" fillId="0" borderId="7" xfId="0" applyNumberFormat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37" fontId="4" fillId="0" borderId="0" xfId="0" applyNumberFormat="1" applyFont="1" applyAlignment="1">
      <alignment horizontal="center" vertical="center"/>
    </xf>
    <xf numFmtId="3" fontId="35" fillId="0" borderId="7" xfId="0" applyNumberFormat="1" applyFont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1" fontId="4" fillId="0" borderId="0" xfId="1" applyNumberFormat="1" applyFont="1" applyAlignment="1">
      <alignment horizontal="center" vertical="center"/>
    </xf>
    <xf numFmtId="171" fontId="4" fillId="0" borderId="2" xfId="1" applyNumberFormat="1" applyFont="1" applyBorder="1" applyAlignment="1">
      <alignment horizontal="center" vertical="center"/>
    </xf>
    <xf numFmtId="171" fontId="5" fillId="0" borderId="0" xfId="1" applyNumberFormat="1" applyFont="1" applyAlignment="1">
      <alignment horizontal="center" vertical="center"/>
    </xf>
    <xf numFmtId="171" fontId="5" fillId="0" borderId="4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  <xf numFmtId="37" fontId="5" fillId="0" borderId="4" xfId="1" applyNumberFormat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center" vertical="center"/>
    </xf>
    <xf numFmtId="37" fontId="5" fillId="0" borderId="0" xfId="1" applyNumberFormat="1" applyFont="1" applyAlignment="1">
      <alignment horizontal="center" vertical="center"/>
    </xf>
    <xf numFmtId="0" fontId="4" fillId="4" borderId="0" xfId="1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2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37" fontId="4" fillId="4" borderId="0" xfId="2" applyNumberFormat="1" applyFont="1" applyFill="1" applyBorder="1" applyAlignment="1">
      <alignment horizontal="center" vertical="center"/>
    </xf>
    <xf numFmtId="37" fontId="5" fillId="0" borderId="4" xfId="2" applyNumberFormat="1" applyFont="1" applyBorder="1" applyAlignment="1">
      <alignment horizontal="center" vertical="center"/>
    </xf>
    <xf numFmtId="37" fontId="5" fillId="4" borderId="4" xfId="2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37" fontId="4" fillId="0" borderId="0" xfId="1" applyNumberFormat="1" applyFont="1" applyAlignment="1">
      <alignment horizontal="center" vertical="center"/>
    </xf>
    <xf numFmtId="37" fontId="4" fillId="0" borderId="4" xfId="1" applyNumberFormat="1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9" fontId="4" fillId="0" borderId="0" xfId="1" applyNumberFormat="1" applyFont="1" applyAlignment="1">
      <alignment horizontal="center"/>
    </xf>
    <xf numFmtId="0" fontId="17" fillId="2" borderId="0" xfId="1" applyFont="1" applyFill="1" applyAlignment="1">
      <alignment horizontal="center" vertical="center"/>
    </xf>
    <xf numFmtId="169" fontId="4" fillId="0" borderId="2" xfId="2" applyNumberFormat="1" applyFont="1" applyBorder="1" applyAlignment="1">
      <alignment horizontal="center" vertical="center"/>
    </xf>
    <xf numFmtId="169" fontId="4" fillId="0" borderId="0" xfId="2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1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184" fontId="4" fillId="0" borderId="0" xfId="9" applyNumberFormat="1" applyFont="1" applyFill="1" applyBorder="1" applyAlignment="1">
      <alignment horizontal="center" vertical="center"/>
    </xf>
    <xf numFmtId="184" fontId="4" fillId="0" borderId="1" xfId="9" applyNumberFormat="1" applyFont="1" applyBorder="1" applyAlignment="1">
      <alignment horizontal="center" vertical="center"/>
    </xf>
    <xf numFmtId="184" fontId="4" fillId="0" borderId="0" xfId="9" applyNumberFormat="1" applyFont="1" applyAlignment="1">
      <alignment horizontal="center" vertical="center"/>
    </xf>
    <xf numFmtId="184" fontId="4" fillId="0" borderId="0" xfId="9" applyNumberFormat="1" applyFont="1" applyFill="1" applyAlignment="1">
      <alignment horizontal="center" vertical="center"/>
    </xf>
    <xf numFmtId="184" fontId="4" fillId="0" borderId="1" xfId="9" applyNumberFormat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184" fontId="4" fillId="0" borderId="2" xfId="9" applyNumberFormat="1" applyFont="1" applyBorder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37" fontId="4" fillId="0" borderId="0" xfId="2" applyNumberFormat="1" applyFont="1" applyAlignment="1">
      <alignment horizontal="center" vertical="center"/>
    </xf>
    <xf numFmtId="37" fontId="4" fillId="0" borderId="4" xfId="2" applyNumberFormat="1" applyFont="1" applyBorder="1" applyAlignment="1">
      <alignment horizontal="center" vertical="center"/>
    </xf>
    <xf numFmtId="169" fontId="4" fillId="0" borderId="1" xfId="2" applyNumberFormat="1" applyFont="1" applyBorder="1" applyAlignment="1">
      <alignment horizontal="center" vertical="center"/>
    </xf>
    <xf numFmtId="3" fontId="4" fillId="0" borderId="2" xfId="2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0" fontId="40" fillId="0" borderId="0" xfId="1" applyFont="1" applyAlignment="1">
      <alignment horizontal="center"/>
    </xf>
    <xf numFmtId="3" fontId="10" fillId="4" borderId="0" xfId="2" applyNumberFormat="1" applyFont="1" applyFill="1" applyBorder="1" applyAlignment="1">
      <alignment vertical="center"/>
    </xf>
    <xf numFmtId="3" fontId="35" fillId="0" borderId="0" xfId="2" applyNumberFormat="1" applyFont="1" applyAlignment="1">
      <alignment vertical="center"/>
    </xf>
    <xf numFmtId="177" fontId="9" fillId="0" borderId="0" xfId="1" applyNumberFormat="1" applyFont="1" applyAlignment="1">
      <alignment horizontal="right" vertical="center"/>
    </xf>
    <xf numFmtId="37" fontId="35" fillId="0" borderId="4" xfId="1" applyNumberFormat="1" applyFont="1" applyBorder="1" applyAlignment="1">
      <alignment vertical="center"/>
    </xf>
    <xf numFmtId="37" fontId="35" fillId="0" borderId="14" xfId="1" applyNumberFormat="1" applyFont="1" applyBorder="1" applyAlignment="1">
      <alignment vertical="center"/>
    </xf>
    <xf numFmtId="37" fontId="35" fillId="0" borderId="0" xfId="2" applyNumberFormat="1" applyFont="1" applyFill="1" applyBorder="1" applyAlignment="1">
      <alignment vertical="center"/>
    </xf>
    <xf numFmtId="37" fontId="35" fillId="0" borderId="2" xfId="2" applyNumberFormat="1" applyFont="1" applyFill="1" applyBorder="1" applyAlignment="1">
      <alignment vertical="center"/>
    </xf>
    <xf numFmtId="37" fontId="35" fillId="0" borderId="0" xfId="2" applyNumberFormat="1" applyFont="1" applyFill="1" applyAlignment="1">
      <alignment vertical="center"/>
    </xf>
    <xf numFmtId="37" fontId="35" fillId="0" borderId="0" xfId="2" applyNumberFormat="1" applyFont="1" applyAlignment="1">
      <alignment horizontal="right" vertical="center"/>
    </xf>
    <xf numFmtId="37" fontId="35" fillId="0" borderId="4" xfId="2" applyNumberFormat="1" applyFont="1" applyBorder="1" applyAlignment="1">
      <alignment horizontal="right" vertical="center"/>
    </xf>
    <xf numFmtId="37" fontId="35" fillId="0" borderId="0" xfId="2" applyNumberFormat="1" applyFont="1" applyBorder="1" applyAlignment="1">
      <alignment horizontal="right" vertical="center"/>
    </xf>
    <xf numFmtId="169" fontId="4" fillId="0" borderId="0" xfId="3" applyNumberFormat="1" applyFont="1" applyBorder="1" applyAlignment="1">
      <alignment vertical="center"/>
    </xf>
    <xf numFmtId="169" fontId="4" fillId="0" borderId="0" xfId="3" applyNumberFormat="1" applyFont="1" applyAlignment="1">
      <alignment vertical="center"/>
    </xf>
    <xf numFmtId="3" fontId="4" fillId="0" borderId="0" xfId="1" applyNumberFormat="1" applyFont="1" applyAlignment="1">
      <alignment vertical="center"/>
    </xf>
    <xf numFmtId="177" fontId="35" fillId="0" borderId="0" xfId="1" applyNumberFormat="1" applyFont="1" applyAlignment="1">
      <alignment horizontal="center"/>
    </xf>
    <xf numFmtId="177" fontId="9" fillId="0" borderId="0" xfId="1" applyNumberFormat="1" applyFont="1" applyAlignment="1">
      <alignment horizontal="center" vertical="center"/>
    </xf>
    <xf numFmtId="37" fontId="8" fillId="0" borderId="0" xfId="2" applyNumberFormat="1" applyFont="1" applyAlignment="1">
      <alignment vertical="center"/>
    </xf>
    <xf numFmtId="37" fontId="8" fillId="0" borderId="2" xfId="2" applyNumberFormat="1" applyFont="1" applyBorder="1" applyAlignment="1">
      <alignment vertical="center"/>
    </xf>
    <xf numFmtId="37" fontId="10" fillId="0" borderId="0" xfId="2" applyNumberFormat="1" applyFont="1" applyAlignment="1">
      <alignment vertical="center"/>
    </xf>
  </cellXfs>
  <cellStyles count="14">
    <cellStyle name="Comma [0] 2" xfId="7" xr:uid="{C8AA50B9-4D23-47A4-B22C-84B9B4AB6192}"/>
    <cellStyle name="Comma 10" xfId="5" xr:uid="{B7CA07D7-32E8-4D8E-B1E3-88350797954E}"/>
    <cellStyle name="Comma 2" xfId="9" xr:uid="{4ED6AD40-6AEA-42A6-BBC8-DA0149C94053}"/>
    <cellStyle name="Comma 2 3" xfId="4" xr:uid="{B3BF8FDB-A0FA-4A6B-BECC-927E631C14D0}"/>
    <cellStyle name="Comma 4" xfId="8" xr:uid="{E460F427-6051-4F8E-8B82-DAD066D96A88}"/>
    <cellStyle name="Currency 2" xfId="2" xr:uid="{FD5EC8E0-DE53-4BC9-86B2-29D70460120E}"/>
    <cellStyle name="Hyperlink 2" xfId="13" xr:uid="{38F12428-D810-4A30-B835-007F74D00B25}"/>
    <cellStyle name="Normal" xfId="0" builtinId="0"/>
    <cellStyle name="Normal 2" xfId="1" xr:uid="{BFC6E3A0-0786-4B2C-A717-D7CBF99F6769}"/>
    <cellStyle name="Normal 2 2" xfId="12" xr:uid="{1A75F313-D442-4D74-94D3-0FD9A7AAE4F5}"/>
    <cellStyle name="Normal 3" xfId="11" xr:uid="{D7A4BF28-2B8D-4F6C-AB3E-B8B2770A2BF4}"/>
    <cellStyle name="Normal 6" xfId="6" xr:uid="{A50DC3EE-CCB0-4439-9A1A-4F62DDF553A4}"/>
    <cellStyle name="Percent 2" xfId="3" xr:uid="{D2C5EC1C-9D7C-4B03-BC26-65EEC0BCCB5D}"/>
    <cellStyle name="Percent 2 2" xfId="10" xr:uid="{C45388EA-9760-492A-861B-CAB9A14E0123}"/>
  </cellStyles>
  <dxfs count="0"/>
  <tableStyles count="0" defaultTableStyle="TableStyleMedium2" defaultPivotStyle="PivotStyleLight16"/>
  <colors>
    <mruColors>
      <color rgb="FF0000FF"/>
      <color rgb="FF00B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98D9-740D-41CA-883A-C75639847693}">
  <dimension ref="B2:T57"/>
  <sheetViews>
    <sheetView showGridLines="0" tabSelected="1" zoomScale="115" zoomScaleNormal="115" workbookViewId="0">
      <selection activeCell="O50" sqref="O50"/>
    </sheetView>
  </sheetViews>
  <sheetFormatPr defaultColWidth="8.7109375" defaultRowHeight="11.25" x14ac:dyDescent="0.2"/>
  <cols>
    <col min="1" max="1" width="2.7109375" style="167" customWidth="1"/>
    <col min="2" max="2" width="23.28515625" style="167" bestFit="1" customWidth="1"/>
    <col min="3" max="3" width="8.7109375" style="167"/>
    <col min="4" max="4" width="8.5703125" style="174" bestFit="1" customWidth="1"/>
    <col min="5" max="5" width="10.28515625" style="167" bestFit="1" customWidth="1"/>
    <col min="6" max="6" width="9.5703125" style="167" customWidth="1"/>
    <col min="7" max="9" width="10.140625" style="167" customWidth="1"/>
    <col min="10" max="10" width="9.5703125" style="167" customWidth="1"/>
    <col min="11" max="13" width="10.140625" style="167" customWidth="1"/>
    <col min="14" max="16384" width="8.7109375" style="167"/>
  </cols>
  <sheetData>
    <row r="2" spans="2:15" ht="13.5" customHeight="1" x14ac:dyDescent="0.2">
      <c r="B2" s="164" t="s">
        <v>164</v>
      </c>
      <c r="C2" s="164"/>
      <c r="D2" s="188"/>
      <c r="E2" s="164"/>
      <c r="F2" s="164"/>
      <c r="G2" s="164"/>
      <c r="H2" s="164"/>
      <c r="I2" s="164"/>
      <c r="J2" s="164"/>
      <c r="K2" s="164"/>
      <c r="L2" s="164"/>
      <c r="M2" s="164"/>
    </row>
    <row r="3" spans="2:15" ht="13.5" customHeight="1" x14ac:dyDescent="0.2">
      <c r="B3" s="164" t="s">
        <v>128</v>
      </c>
      <c r="C3" s="164"/>
      <c r="D3" s="188"/>
      <c r="E3" s="164"/>
      <c r="F3" s="164"/>
      <c r="G3" s="164"/>
      <c r="H3" s="164"/>
      <c r="I3" s="164"/>
      <c r="J3" s="164"/>
      <c r="K3" s="164"/>
      <c r="L3" s="164"/>
      <c r="M3" s="164"/>
    </row>
    <row r="4" spans="2:15" ht="13.5" customHeight="1" x14ac:dyDescent="0.2">
      <c r="B4" s="3"/>
      <c r="C4" s="3"/>
      <c r="D4" s="192"/>
      <c r="E4" s="3"/>
      <c r="F4" s="3"/>
      <c r="G4" s="3"/>
      <c r="H4" s="3"/>
      <c r="I4" s="3"/>
      <c r="J4" s="3"/>
      <c r="K4" s="3"/>
      <c r="L4" s="3"/>
      <c r="M4" s="3"/>
    </row>
    <row r="5" spans="2:15" ht="13.5" customHeight="1" x14ac:dyDescent="0.2">
      <c r="B5" s="198" t="s">
        <v>103</v>
      </c>
      <c r="C5" s="168"/>
      <c r="D5" s="199"/>
      <c r="E5" s="168"/>
      <c r="G5" s="18" t="s">
        <v>10</v>
      </c>
      <c r="H5" s="66"/>
      <c r="I5" s="66"/>
      <c r="K5" s="18" t="s">
        <v>12</v>
      </c>
      <c r="L5" s="66"/>
      <c r="M5" s="66"/>
    </row>
    <row r="6" spans="2:15" s="161" customFormat="1" ht="13.5" customHeight="1" x14ac:dyDescent="0.25">
      <c r="B6" s="3" t="s">
        <v>115</v>
      </c>
      <c r="C6" s="3"/>
      <c r="D6" s="192" t="s">
        <v>142</v>
      </c>
      <c r="E6" s="390">
        <f>+Historicals!H14</f>
        <v>8318.2542262248226</v>
      </c>
      <c r="F6" s="32"/>
      <c r="G6" s="3" t="s">
        <v>7</v>
      </c>
      <c r="I6" s="191">
        <f>+E8*E6</f>
        <v>16636.508452449645</v>
      </c>
      <c r="J6" s="32"/>
      <c r="K6" s="3" t="s">
        <v>3</v>
      </c>
      <c r="M6" s="191">
        <f>+E6*E7</f>
        <v>66546.03380979858</v>
      </c>
    </row>
    <row r="7" spans="2:15" s="161" customFormat="1" ht="13.5" customHeight="1" x14ac:dyDescent="0.25">
      <c r="B7" s="3" t="s">
        <v>150</v>
      </c>
      <c r="C7" s="3"/>
      <c r="D7" s="192" t="s">
        <v>0</v>
      </c>
      <c r="E7" s="194">
        <v>8</v>
      </c>
      <c r="F7" s="32"/>
      <c r="G7" s="3" t="s">
        <v>8</v>
      </c>
      <c r="I7" s="191">
        <f>+E6*E9</f>
        <v>8318.2542262248226</v>
      </c>
      <c r="J7" s="32"/>
      <c r="K7" s="3" t="s">
        <v>2</v>
      </c>
      <c r="M7" s="191">
        <f>+E11</f>
        <v>1000</v>
      </c>
    </row>
    <row r="8" spans="2:15" s="161" customFormat="1" ht="13.5" customHeight="1" x14ac:dyDescent="0.25">
      <c r="B8" s="161" t="s">
        <v>153</v>
      </c>
      <c r="D8" s="192" t="s">
        <v>0</v>
      </c>
      <c r="E8" s="194">
        <v>2</v>
      </c>
      <c r="F8" s="32"/>
      <c r="G8" s="3" t="s">
        <v>17</v>
      </c>
      <c r="I8" s="191">
        <f>+(M11-SUM(I6:I7))*E10</f>
        <v>6763.0121098487334</v>
      </c>
      <c r="J8" s="32"/>
      <c r="K8" s="3" t="s">
        <v>1</v>
      </c>
      <c r="M8" s="191">
        <f>+M6*E12</f>
        <v>1996.3810142939574</v>
      </c>
    </row>
    <row r="9" spans="2:15" s="161" customFormat="1" ht="13.5" customHeight="1" x14ac:dyDescent="0.25">
      <c r="B9" s="3" t="s">
        <v>154</v>
      </c>
      <c r="C9" s="3"/>
      <c r="D9" s="192" t="s">
        <v>0</v>
      </c>
      <c r="E9" s="194">
        <v>1</v>
      </c>
      <c r="F9" s="32"/>
      <c r="G9" s="3" t="s">
        <v>152</v>
      </c>
      <c r="I9" s="191">
        <f>+(M11-SUM(I6:I7))*(1-E10)</f>
        <v>38323.735289142824</v>
      </c>
      <c r="J9" s="32"/>
      <c r="K9" s="3" t="s">
        <v>13</v>
      </c>
      <c r="M9" s="191">
        <f>+E6*(E8+E9)*E13</f>
        <v>499.09525357348934</v>
      </c>
    </row>
    <row r="10" spans="2:15" s="161" customFormat="1" ht="13.5" customHeight="1" x14ac:dyDescent="0.25">
      <c r="B10" s="3" t="s">
        <v>14</v>
      </c>
      <c r="C10" s="7"/>
      <c r="D10" s="193" t="s">
        <v>143</v>
      </c>
      <c r="E10" s="197">
        <v>0.15</v>
      </c>
      <c r="F10" s="8"/>
      <c r="J10" s="8"/>
    </row>
    <row r="11" spans="2:15" s="161" customFormat="1" ht="13.5" customHeight="1" x14ac:dyDescent="0.25">
      <c r="B11" s="3" t="s">
        <v>2</v>
      </c>
      <c r="C11" s="3"/>
      <c r="D11" s="192" t="s">
        <v>142</v>
      </c>
      <c r="E11" s="96">
        <v>1000</v>
      </c>
      <c r="G11" s="202" t="s">
        <v>9</v>
      </c>
      <c r="H11" s="201"/>
      <c r="I11" s="203">
        <f>+SUM(I6:I10)</f>
        <v>70041.510077666026</v>
      </c>
      <c r="K11" s="202" t="s">
        <v>9</v>
      </c>
      <c r="L11" s="201"/>
      <c r="M11" s="203">
        <f>+SUM(M6:M10)</f>
        <v>70041.510077666026</v>
      </c>
    </row>
    <row r="12" spans="2:15" s="161" customFormat="1" ht="13.5" customHeight="1" x14ac:dyDescent="0.25">
      <c r="B12" s="161" t="s">
        <v>1</v>
      </c>
      <c r="D12" s="192" t="s">
        <v>143</v>
      </c>
      <c r="E12" s="196">
        <v>0.03</v>
      </c>
      <c r="K12" s="205" t="s">
        <v>155</v>
      </c>
      <c r="L12" s="205"/>
      <c r="M12" s="243">
        <f>+I11-M11</f>
        <v>0</v>
      </c>
    </row>
    <row r="13" spans="2:15" s="161" customFormat="1" ht="13.5" customHeight="1" x14ac:dyDescent="0.25">
      <c r="B13" s="3" t="s">
        <v>13</v>
      </c>
      <c r="C13"/>
      <c r="D13" s="192" t="s">
        <v>143</v>
      </c>
      <c r="E13" s="196">
        <v>0.02</v>
      </c>
      <c r="G13" s="5"/>
      <c r="I13" s="51"/>
      <c r="K13" s="5"/>
      <c r="M13" s="51"/>
    </row>
    <row r="14" spans="2:15" s="161" customFormat="1" ht="13.5" customHeight="1" x14ac:dyDescent="0.25">
      <c r="B14" s="3" t="s">
        <v>4</v>
      </c>
      <c r="C14" s="3"/>
      <c r="D14" s="192" t="s">
        <v>156</v>
      </c>
      <c r="E14" s="96">
        <v>7</v>
      </c>
      <c r="G14" s="5"/>
      <c r="I14" s="51"/>
      <c r="K14" s="5"/>
      <c r="M14" s="51"/>
    </row>
    <row r="15" spans="2:15" s="161" customFormat="1" ht="13.5" customHeight="1" x14ac:dyDescent="0.25">
      <c r="B15" s="3" t="s">
        <v>159</v>
      </c>
      <c r="C15" s="3"/>
      <c r="D15" s="192" t="s">
        <v>40</v>
      </c>
      <c r="E15" s="391">
        <v>45657</v>
      </c>
      <c r="G15" s="5"/>
      <c r="I15" s="51"/>
      <c r="K15" s="5"/>
      <c r="M15" s="51"/>
    </row>
    <row r="16" spans="2:15" s="161" customFormat="1" ht="13.5" customHeight="1" x14ac:dyDescent="0.25">
      <c r="D16" s="312"/>
      <c r="K16" s="5"/>
      <c r="L16" s="5"/>
      <c r="M16" s="5"/>
      <c r="N16" s="5"/>
      <c r="O16" s="5"/>
    </row>
    <row r="17" spans="2:20" ht="13.5" customHeight="1" x14ac:dyDescent="0.2">
      <c r="B17" s="19" t="s">
        <v>157</v>
      </c>
      <c r="C17" s="19"/>
      <c r="D17" s="336"/>
      <c r="E17" s="19"/>
      <c r="F17" s="19"/>
      <c r="G17" s="19"/>
      <c r="H17" s="20"/>
      <c r="I17" s="21"/>
      <c r="J17" s="19"/>
      <c r="K17" s="5"/>
      <c r="L17" s="5"/>
      <c r="M17" s="5"/>
      <c r="N17" s="5"/>
      <c r="O17" s="5"/>
      <c r="P17" s="161"/>
      <c r="Q17" s="161"/>
      <c r="R17" s="161"/>
      <c r="S17" s="161"/>
      <c r="T17" s="161"/>
    </row>
    <row r="18" spans="2:20" ht="13.5" customHeight="1" x14ac:dyDescent="0.2">
      <c r="I18" s="161"/>
      <c r="K18" s="5"/>
      <c r="L18" s="5"/>
      <c r="M18" s="5"/>
      <c r="N18" s="5"/>
      <c r="O18" s="5"/>
      <c r="P18" s="161"/>
      <c r="Q18" s="161"/>
      <c r="R18" s="161"/>
      <c r="S18" s="161"/>
      <c r="T18" s="161"/>
    </row>
    <row r="19" spans="2:20" ht="13.5" customHeight="1" x14ac:dyDescent="0.2">
      <c r="B19" s="198" t="s">
        <v>158</v>
      </c>
      <c r="C19" s="198"/>
      <c r="D19" s="337"/>
      <c r="E19" s="198"/>
      <c r="F19" s="161"/>
      <c r="G19" s="161"/>
      <c r="J19" s="161"/>
      <c r="K19" s="5"/>
      <c r="L19" s="5"/>
      <c r="M19" s="5"/>
      <c r="N19" s="5"/>
      <c r="O19" s="5"/>
      <c r="P19" s="161"/>
      <c r="Q19" s="161"/>
      <c r="R19" s="161"/>
      <c r="S19" s="161"/>
      <c r="T19" s="161"/>
    </row>
    <row r="20" spans="2:20" ht="13.5" customHeight="1" x14ac:dyDescent="0.2">
      <c r="B20" s="23" t="s">
        <v>3</v>
      </c>
      <c r="C20" s="23"/>
      <c r="D20" s="338" t="s">
        <v>142</v>
      </c>
      <c r="E20" s="405">
        <f>+M6</f>
        <v>66546.03380979858</v>
      </c>
      <c r="F20" s="161"/>
      <c r="G20" s="161"/>
      <c r="J20" s="161"/>
      <c r="K20" s="5"/>
      <c r="L20" s="5"/>
      <c r="M20" s="5"/>
      <c r="N20" s="5"/>
      <c r="O20" s="5"/>
      <c r="P20" s="161"/>
      <c r="Q20" s="161"/>
      <c r="R20" s="161"/>
      <c r="S20" s="161"/>
      <c r="T20" s="161"/>
    </row>
    <row r="21" spans="2:20" ht="13.5" customHeight="1" x14ac:dyDescent="0.2">
      <c r="B21" s="3" t="s">
        <v>35</v>
      </c>
      <c r="C21" s="3"/>
      <c r="D21" s="192" t="s">
        <v>142</v>
      </c>
      <c r="E21" s="405">
        <f>-SUM('Transaction Structure'!G41,SUM('Transaction Structure'!G45:G47))</f>
        <v>0</v>
      </c>
      <c r="F21" s="161"/>
      <c r="G21" s="161"/>
      <c r="J21" s="161"/>
      <c r="K21" s="5"/>
      <c r="L21" s="5"/>
      <c r="M21" s="5"/>
      <c r="N21" s="5"/>
      <c r="O21" s="5"/>
      <c r="P21" s="161"/>
      <c r="Q21" s="161"/>
      <c r="R21" s="161"/>
      <c r="S21" s="161"/>
      <c r="T21" s="161"/>
    </row>
    <row r="22" spans="2:20" ht="13.5" customHeight="1" x14ac:dyDescent="0.2">
      <c r="B22" s="24" t="s">
        <v>36</v>
      </c>
      <c r="C22" s="24"/>
      <c r="D22" s="339" t="s">
        <v>142</v>
      </c>
      <c r="E22" s="406">
        <f>+G31</f>
        <v>5469.1911539999983</v>
      </c>
      <c r="F22" s="161"/>
      <c r="G22" s="161"/>
      <c r="J22" s="161"/>
      <c r="K22" s="5"/>
      <c r="L22" s="5"/>
      <c r="M22" s="5"/>
      <c r="N22" s="5"/>
      <c r="O22" s="5"/>
    </row>
    <row r="23" spans="2:20" ht="13.5" customHeight="1" x14ac:dyDescent="0.2">
      <c r="B23" s="25" t="s">
        <v>37</v>
      </c>
      <c r="C23" s="25"/>
      <c r="D23" s="340" t="s">
        <v>142</v>
      </c>
      <c r="E23" s="407">
        <f>+E20+E21+E22</f>
        <v>72015.224963798581</v>
      </c>
      <c r="F23" s="161"/>
      <c r="G23" s="161"/>
      <c r="J23" s="161"/>
      <c r="K23" s="5"/>
      <c r="L23" s="5"/>
      <c r="M23" s="5"/>
      <c r="N23" s="5"/>
      <c r="O23" s="5"/>
    </row>
    <row r="24" spans="2:20" ht="13.5" customHeight="1" x14ac:dyDescent="0.2">
      <c r="B24" s="23" t="s">
        <v>38</v>
      </c>
      <c r="C24" s="23"/>
      <c r="D24" s="338" t="s">
        <v>142</v>
      </c>
      <c r="E24" s="405">
        <f>'Transaction Structure'!G52</f>
        <v>8936.2728849470368</v>
      </c>
      <c r="F24" s="161"/>
      <c r="G24" s="161"/>
      <c r="J24" s="161"/>
      <c r="K24" s="5"/>
      <c r="L24" s="5"/>
      <c r="M24" s="5"/>
      <c r="N24" s="5"/>
      <c r="O24" s="5"/>
    </row>
    <row r="25" spans="2:20" ht="13.5" customHeight="1" x14ac:dyDescent="0.2">
      <c r="B25" s="23" t="s">
        <v>162</v>
      </c>
      <c r="C25" s="23"/>
      <c r="D25" s="338" t="s">
        <v>142</v>
      </c>
      <c r="E25" s="405">
        <f>+G37</f>
        <v>0</v>
      </c>
      <c r="F25" s="161"/>
      <c r="G25" s="161"/>
      <c r="J25" s="161"/>
      <c r="K25" s="5"/>
      <c r="L25" s="5"/>
      <c r="M25" s="5"/>
      <c r="N25" s="5"/>
      <c r="O25" s="5"/>
    </row>
    <row r="26" spans="2:20" ht="13.5" customHeight="1" x14ac:dyDescent="0.2">
      <c r="B26" s="26" t="s">
        <v>39</v>
      </c>
      <c r="C26" s="26"/>
      <c r="D26" s="341" t="s">
        <v>142</v>
      </c>
      <c r="E26" s="11">
        <f>+E23-E24+E25</f>
        <v>63078.952078851544</v>
      </c>
      <c r="F26" s="161"/>
      <c r="G26" s="161"/>
      <c r="J26" s="161"/>
      <c r="K26" s="5"/>
      <c r="L26" s="5"/>
      <c r="M26" s="5"/>
      <c r="N26" s="5"/>
      <c r="O26" s="5"/>
    </row>
    <row r="27" spans="2:20" ht="13.5" customHeight="1" x14ac:dyDescent="0.2">
      <c r="K27" s="5"/>
      <c r="L27" s="5"/>
      <c r="M27" s="5"/>
      <c r="N27" s="5"/>
      <c r="O27" s="5"/>
    </row>
    <row r="28" spans="2:20" ht="13.5" customHeight="1" x14ac:dyDescent="0.2">
      <c r="B28" s="211" t="s">
        <v>163</v>
      </c>
      <c r="C28" s="168"/>
      <c r="D28" s="199"/>
      <c r="E28" s="168"/>
      <c r="F28" s="168"/>
      <c r="G28" s="168"/>
      <c r="H28" s="168"/>
      <c r="I28" s="168"/>
      <c r="J28" s="168"/>
      <c r="K28" s="5"/>
      <c r="L28" s="5"/>
      <c r="M28" s="5"/>
      <c r="N28" s="5"/>
      <c r="O28" s="5"/>
    </row>
    <row r="29" spans="2:20" ht="13.5" customHeight="1" x14ac:dyDescent="0.2">
      <c r="K29" s="5"/>
      <c r="L29" s="5"/>
      <c r="M29" s="5"/>
      <c r="N29" s="5"/>
      <c r="O29" s="5"/>
    </row>
    <row r="30" spans="2:20" ht="13.5" customHeight="1" x14ac:dyDescent="0.2">
      <c r="B30" s="5" t="s">
        <v>18</v>
      </c>
      <c r="C30" s="3"/>
      <c r="D30" s="192"/>
      <c r="E30" s="3"/>
      <c r="F30" s="3"/>
      <c r="G30" s="27" t="str">
        <f>"FY"&amp;YEAR(E15)&amp;"A"</f>
        <v>FY2024A</v>
      </c>
      <c r="H30" s="220" t="s">
        <v>19</v>
      </c>
      <c r="I30" s="221" t="s">
        <v>20</v>
      </c>
      <c r="J30" s="27" t="str">
        <f>"FY"&amp;YEAR(E15)&amp;"PF"</f>
        <v>FY2024PF</v>
      </c>
      <c r="K30" s="5"/>
      <c r="L30" s="5"/>
      <c r="M30" s="5"/>
      <c r="N30" s="5"/>
      <c r="O30" s="5"/>
    </row>
    <row r="31" spans="2:20" ht="15" customHeight="1" x14ac:dyDescent="0.2">
      <c r="B31" s="3" t="str">
        <f>+Historicals!B22</f>
        <v>Cash and Cash Equivalent</v>
      </c>
      <c r="C31" s="3"/>
      <c r="D31" s="192" t="s">
        <v>142</v>
      </c>
      <c r="E31" s="3"/>
      <c r="F31" s="3"/>
      <c r="G31" s="397">
        <f>+Historicals!H22</f>
        <v>5469.1911539999983</v>
      </c>
      <c r="H31" s="212">
        <f>+M7</f>
        <v>1000</v>
      </c>
      <c r="I31" s="213">
        <f>-G31</f>
        <v>-5469.1911539999983</v>
      </c>
      <c r="J31" s="17">
        <f>G31+H31+I31</f>
        <v>1000</v>
      </c>
      <c r="K31" s="5"/>
      <c r="L31" s="5"/>
      <c r="M31" s="5"/>
      <c r="N31" s="5"/>
      <c r="O31" s="5"/>
    </row>
    <row r="32" spans="2:20" ht="15" customHeight="1" x14ac:dyDescent="0.2">
      <c r="B32" s="3" t="str">
        <f>+Historicals!B23</f>
        <v>Accounts Receivable</v>
      </c>
      <c r="C32" s="3"/>
      <c r="D32" s="192" t="s">
        <v>142</v>
      </c>
      <c r="E32" s="3"/>
      <c r="F32" s="3"/>
      <c r="G32" s="397">
        <f>+Historicals!H23</f>
        <v>4001.8284570000014</v>
      </c>
      <c r="H32" s="212"/>
      <c r="I32" s="213"/>
      <c r="J32" s="17">
        <f>G32+H32+I32</f>
        <v>4001.8284570000014</v>
      </c>
      <c r="K32" s="5"/>
      <c r="L32" s="5"/>
      <c r="M32" s="5"/>
      <c r="N32" s="5"/>
      <c r="O32" s="5"/>
    </row>
    <row r="33" spans="2:17" ht="15" customHeight="1" x14ac:dyDescent="0.2">
      <c r="B33" s="3" t="str">
        <f>+Historicals!B24</f>
        <v>Inventories</v>
      </c>
      <c r="C33" s="3"/>
      <c r="D33" s="192" t="s">
        <v>142</v>
      </c>
      <c r="E33" s="3"/>
      <c r="F33" s="3"/>
      <c r="G33" s="397">
        <f>+Historicals!H24</f>
        <v>2607.3523839470367</v>
      </c>
      <c r="H33" s="212"/>
      <c r="I33" s="213"/>
      <c r="J33" s="17">
        <f>G33+H33+I33</f>
        <v>2607.3523839470367</v>
      </c>
      <c r="K33" s="5"/>
      <c r="L33" s="5"/>
      <c r="M33" s="5"/>
      <c r="N33" s="5"/>
      <c r="O33" s="5"/>
    </row>
    <row r="34" spans="2:17" ht="15" customHeight="1" x14ac:dyDescent="0.2">
      <c r="B34" s="3" t="s">
        <v>167</v>
      </c>
      <c r="C34" s="3"/>
      <c r="D34" s="192" t="s">
        <v>142</v>
      </c>
      <c r="E34" s="3"/>
      <c r="F34" s="3"/>
      <c r="G34" s="28"/>
      <c r="H34" s="212"/>
      <c r="I34" s="213">
        <f>'Transaction Structure'!M9+'Transaction Structure'!M8</f>
        <v>2495.4762678674469</v>
      </c>
      <c r="J34" s="17">
        <f>G34+H34+I34</f>
        <v>2495.4762678674469</v>
      </c>
      <c r="K34" s="5"/>
      <c r="L34" s="5"/>
      <c r="M34" s="5"/>
      <c r="N34" s="5"/>
      <c r="O34" s="5"/>
    </row>
    <row r="35" spans="2:17" ht="15" customHeight="1" x14ac:dyDescent="0.2">
      <c r="B35" s="10" t="s">
        <v>21</v>
      </c>
      <c r="C35" s="10"/>
      <c r="D35" s="342" t="s">
        <v>142</v>
      </c>
      <c r="E35" s="10"/>
      <c r="F35" s="10"/>
      <c r="G35" s="207">
        <f>+SUM(G31:G34)</f>
        <v>12078.371994947036</v>
      </c>
      <c r="H35" s="214"/>
      <c r="I35" s="215"/>
      <c r="J35" s="76">
        <f>+SUM(J31:J34)</f>
        <v>10104.657108814485</v>
      </c>
      <c r="K35" s="5"/>
      <c r="L35" s="152"/>
      <c r="M35" s="5"/>
      <c r="N35" s="5"/>
      <c r="O35" s="5"/>
    </row>
    <row r="36" spans="2:17" ht="15" customHeight="1" x14ac:dyDescent="0.2">
      <c r="B36" s="3" t="s">
        <v>63</v>
      </c>
      <c r="C36" s="3"/>
      <c r="D36" s="192" t="s">
        <v>142</v>
      </c>
      <c r="E36" s="3"/>
      <c r="F36" s="3"/>
      <c r="G36" s="397">
        <f>+Historicals!H26</f>
        <v>359.20612999999986</v>
      </c>
      <c r="H36" s="212"/>
      <c r="I36" s="213"/>
      <c r="J36" s="17">
        <f>G36+H36+I36</f>
        <v>359.20612999999986</v>
      </c>
      <c r="K36" s="5"/>
      <c r="L36" s="5"/>
      <c r="M36" s="5"/>
      <c r="N36" s="5"/>
      <c r="O36" s="5"/>
    </row>
    <row r="37" spans="2:17" ht="15" customHeight="1" x14ac:dyDescent="0.2">
      <c r="B37" s="3" t="s">
        <v>22</v>
      </c>
      <c r="C37" s="3"/>
      <c r="D37" s="192" t="s">
        <v>142</v>
      </c>
      <c r="E37" s="3"/>
      <c r="F37" s="3"/>
      <c r="G37" s="28"/>
      <c r="H37" s="212">
        <f>'Transaction Structure'!E26+'Transaction Structure'!E10</f>
        <v>63079.102078851545</v>
      </c>
      <c r="I37" s="213"/>
      <c r="J37" s="17">
        <f>G37+H37+I37</f>
        <v>63079.102078851545</v>
      </c>
      <c r="K37" s="5"/>
      <c r="L37" s="5"/>
      <c r="M37" s="5"/>
      <c r="N37" s="5"/>
      <c r="O37" s="5"/>
    </row>
    <row r="38" spans="2:17" ht="15" customHeight="1" x14ac:dyDescent="0.2">
      <c r="B38" s="12" t="s">
        <v>23</v>
      </c>
      <c r="C38" s="12"/>
      <c r="D38" s="343" t="s">
        <v>142</v>
      </c>
      <c r="E38" s="12"/>
      <c r="F38" s="12"/>
      <c r="G38" s="218">
        <f>+G35+G36+G37</f>
        <v>12437.578124947036</v>
      </c>
      <c r="H38" s="216"/>
      <c r="I38" s="217"/>
      <c r="J38" s="219">
        <f>+J35+J36+J37</f>
        <v>73542.965317666036</v>
      </c>
      <c r="K38" s="5"/>
      <c r="L38" s="5"/>
      <c r="M38" s="5"/>
      <c r="N38" s="5"/>
      <c r="O38" s="5"/>
    </row>
    <row r="39" spans="2:17" ht="15" customHeight="1" x14ac:dyDescent="0.2">
      <c r="B39" s="5"/>
      <c r="C39" s="5"/>
      <c r="D39" s="310"/>
      <c r="E39" s="5"/>
      <c r="F39" s="5"/>
      <c r="G39" s="208"/>
      <c r="H39" s="222"/>
      <c r="I39" s="223"/>
      <c r="J39" s="80"/>
      <c r="K39" s="5"/>
      <c r="L39" s="5"/>
      <c r="M39" s="5"/>
      <c r="N39" s="5"/>
      <c r="O39" s="5"/>
    </row>
    <row r="40" spans="2:17" ht="15" customHeight="1" x14ac:dyDescent="0.2">
      <c r="B40" s="5" t="s">
        <v>24</v>
      </c>
      <c r="C40" s="5"/>
      <c r="D40" s="310"/>
      <c r="E40" s="5"/>
      <c r="F40" s="5"/>
      <c r="G40" s="208"/>
      <c r="H40" s="222"/>
      <c r="I40" s="223"/>
      <c r="J40" s="80"/>
      <c r="K40" s="5"/>
      <c r="L40" s="5"/>
      <c r="M40" s="5"/>
      <c r="N40" s="5"/>
      <c r="O40" s="5"/>
    </row>
    <row r="41" spans="2:17" ht="15" customHeight="1" x14ac:dyDescent="0.2">
      <c r="B41" s="3" t="s">
        <v>6</v>
      </c>
      <c r="C41" s="3"/>
      <c r="D41" s="192" t="s">
        <v>142</v>
      </c>
      <c r="E41" s="3"/>
      <c r="F41" s="3"/>
      <c r="G41" s="28"/>
      <c r="H41" s="212"/>
      <c r="I41" s="213"/>
      <c r="J41" s="17">
        <f>G41+H41+I41</f>
        <v>0</v>
      </c>
      <c r="K41" s="5"/>
      <c r="L41" s="5"/>
      <c r="M41" s="5"/>
      <c r="N41" s="5"/>
      <c r="O41" s="5"/>
    </row>
    <row r="42" spans="2:17" ht="15" customHeight="1" x14ac:dyDescent="0.2">
      <c r="B42" s="3" t="s">
        <v>25</v>
      </c>
      <c r="C42" s="3"/>
      <c r="D42" s="192" t="s">
        <v>142</v>
      </c>
      <c r="E42" s="3"/>
      <c r="F42" s="3"/>
      <c r="G42" s="397">
        <f>+Historicals!H30</f>
        <v>1800.8972469999999</v>
      </c>
      <c r="H42" s="212"/>
      <c r="I42" s="213"/>
      <c r="J42" s="17">
        <f>G42+H42+I42</f>
        <v>1800.8972469999999</v>
      </c>
      <c r="K42" s="5"/>
      <c r="L42" s="5"/>
      <c r="M42" s="5"/>
      <c r="N42" s="5"/>
      <c r="O42" s="5"/>
      <c r="P42" s="32"/>
      <c r="Q42" s="32"/>
    </row>
    <row r="43" spans="2:17" ht="15" customHeight="1" x14ac:dyDescent="0.2">
      <c r="B43" s="3" t="s">
        <v>26</v>
      </c>
      <c r="C43" s="3"/>
      <c r="D43" s="192" t="s">
        <v>142</v>
      </c>
      <c r="E43" s="3"/>
      <c r="F43" s="3"/>
      <c r="G43" s="397">
        <f>+Historicals!H31</f>
        <v>1700.4079929999998</v>
      </c>
      <c r="H43" s="212"/>
      <c r="I43" s="213"/>
      <c r="J43" s="17">
        <f>G43+H43+I43</f>
        <v>1700.4079929999998</v>
      </c>
      <c r="K43" s="5"/>
      <c r="L43" s="5"/>
      <c r="M43" s="5"/>
      <c r="N43" s="5"/>
      <c r="O43" s="5"/>
    </row>
    <row r="44" spans="2:17" ht="15" customHeight="1" x14ac:dyDescent="0.2">
      <c r="B44" s="10" t="s">
        <v>27</v>
      </c>
      <c r="C44" s="10"/>
      <c r="D44" s="342" t="s">
        <v>142</v>
      </c>
      <c r="E44" s="10"/>
      <c r="F44" s="10"/>
      <c r="G44" s="207">
        <f>+SUM(G41:G43)</f>
        <v>3501.3052399999997</v>
      </c>
      <c r="H44" s="214"/>
      <c r="I44" s="215"/>
      <c r="J44" s="76">
        <f>+SUM(J41:J43)</f>
        <v>3501.3052399999997</v>
      </c>
      <c r="K44" s="5"/>
      <c r="L44" s="5"/>
      <c r="M44" s="5"/>
      <c r="N44" s="5"/>
      <c r="O44" s="5"/>
    </row>
    <row r="45" spans="2:17" ht="15" customHeight="1" x14ac:dyDescent="0.2">
      <c r="B45" s="3" t="s">
        <v>161</v>
      </c>
      <c r="C45" s="3"/>
      <c r="D45" s="192" t="s">
        <v>142</v>
      </c>
      <c r="E45" s="3"/>
      <c r="F45" s="3"/>
      <c r="G45" s="397">
        <f>+Historicals!H33</f>
        <v>0</v>
      </c>
      <c r="H45" s="212">
        <f>-G45</f>
        <v>0</v>
      </c>
      <c r="I45" s="213"/>
      <c r="J45" s="17">
        <f>G45+H45+I45</f>
        <v>0</v>
      </c>
      <c r="K45" s="5"/>
      <c r="L45" s="5"/>
      <c r="M45" s="5"/>
      <c r="N45" s="5"/>
      <c r="O45" s="5"/>
    </row>
    <row r="46" spans="2:17" ht="15" customHeight="1" x14ac:dyDescent="0.2">
      <c r="B46" s="3" t="s">
        <v>7</v>
      </c>
      <c r="C46" s="3"/>
      <c r="D46" s="192" t="s">
        <v>142</v>
      </c>
      <c r="E46" s="3"/>
      <c r="F46" s="3"/>
      <c r="G46" s="28"/>
      <c r="H46" s="212"/>
      <c r="I46" s="213">
        <f>++I6</f>
        <v>16636.508452449645</v>
      </c>
      <c r="J46" s="17">
        <f>G46+H46+I46</f>
        <v>16636.508452449645</v>
      </c>
      <c r="K46" s="5"/>
      <c r="L46" s="5"/>
      <c r="M46" s="5"/>
      <c r="N46" s="5"/>
      <c r="O46" s="5"/>
    </row>
    <row r="47" spans="2:17" ht="15" customHeight="1" x14ac:dyDescent="0.2">
      <c r="B47" s="3" t="s">
        <v>8</v>
      </c>
      <c r="C47" s="3"/>
      <c r="D47" s="192" t="s">
        <v>142</v>
      </c>
      <c r="E47" s="3"/>
      <c r="F47" s="3"/>
      <c r="G47" s="28"/>
      <c r="H47" s="212"/>
      <c r="I47" s="213">
        <f>+I7</f>
        <v>8318.2542262248226</v>
      </c>
      <c r="J47" s="17">
        <f>G47+H47+I47</f>
        <v>8318.2542262248226</v>
      </c>
      <c r="K47" s="5"/>
      <c r="L47" s="5"/>
      <c r="M47" s="5"/>
      <c r="N47" s="5"/>
      <c r="O47" s="5"/>
    </row>
    <row r="48" spans="2:17" ht="15" customHeight="1" x14ac:dyDescent="0.2">
      <c r="B48" s="10" t="s">
        <v>28</v>
      </c>
      <c r="C48" s="10"/>
      <c r="D48" s="342" t="s">
        <v>142</v>
      </c>
      <c r="E48" s="10"/>
      <c r="F48" s="10"/>
      <c r="G48" s="207">
        <f>+SUM(G44:G47)</f>
        <v>3501.3052399999997</v>
      </c>
      <c r="H48" s="214"/>
      <c r="I48" s="215"/>
      <c r="J48" s="76">
        <f>+SUM(J44:J47)</f>
        <v>28456.067918674467</v>
      </c>
      <c r="K48" s="5"/>
      <c r="L48" s="5"/>
      <c r="M48" s="5"/>
      <c r="N48" s="5"/>
      <c r="O48" s="5"/>
    </row>
    <row r="49" spans="2:15" ht="15" customHeight="1" x14ac:dyDescent="0.2">
      <c r="B49" s="22" t="s">
        <v>29</v>
      </c>
      <c r="C49" s="10"/>
      <c r="D49" s="342" t="s">
        <v>142</v>
      </c>
      <c r="E49" s="10"/>
      <c r="F49" s="10"/>
      <c r="G49" s="398">
        <f>+Historicals!H36</f>
        <v>7167.1379349470371</v>
      </c>
      <c r="H49" s="214">
        <f>-G49</f>
        <v>-7167.1379349470371</v>
      </c>
      <c r="I49" s="215"/>
      <c r="J49" s="76">
        <f>G49+H49+I49</f>
        <v>0</v>
      </c>
      <c r="K49" s="5"/>
      <c r="L49" s="5"/>
      <c r="M49" s="5"/>
      <c r="N49" s="5"/>
      <c r="O49" s="5"/>
    </row>
    <row r="50" spans="2:15" ht="15" customHeight="1" x14ac:dyDescent="0.2">
      <c r="B50" s="3" t="s">
        <v>30</v>
      </c>
      <c r="C50" s="5"/>
      <c r="D50" s="310" t="s">
        <v>142</v>
      </c>
      <c r="E50" s="5"/>
      <c r="F50" s="5"/>
      <c r="G50" s="209"/>
      <c r="H50" s="222"/>
      <c r="I50" s="223"/>
      <c r="J50" s="80">
        <f>G50+H50+I50</f>
        <v>0</v>
      </c>
      <c r="K50" s="5"/>
      <c r="L50" s="5"/>
      <c r="M50" s="5"/>
      <c r="N50" s="5"/>
      <c r="O50" s="5"/>
    </row>
    <row r="51" spans="2:15" ht="15" customHeight="1" x14ac:dyDescent="0.2">
      <c r="B51" s="3" t="s">
        <v>31</v>
      </c>
      <c r="C51" s="5"/>
      <c r="D51" s="310" t="s">
        <v>142</v>
      </c>
      <c r="E51" s="5"/>
      <c r="F51" s="5"/>
      <c r="G51" s="399">
        <f>+Historicals!H35</f>
        <v>1769.1349500000001</v>
      </c>
      <c r="H51" s="222">
        <f>-G51</f>
        <v>-1769.1349500000001</v>
      </c>
      <c r="I51" s="223">
        <f>SUM('Transaction Structure'!I8:I9)</f>
        <v>45086.74739899156</v>
      </c>
      <c r="J51" s="80">
        <f>G51+H51+I51</f>
        <v>45086.74739899156</v>
      </c>
      <c r="K51" s="5"/>
      <c r="L51" s="5"/>
      <c r="M51" s="5"/>
      <c r="N51" s="5"/>
      <c r="O51" s="5"/>
    </row>
    <row r="52" spans="2:15" ht="15" customHeight="1" x14ac:dyDescent="0.2">
      <c r="B52" s="10" t="s">
        <v>32</v>
      </c>
      <c r="C52" s="10"/>
      <c r="D52" s="342" t="s">
        <v>142</v>
      </c>
      <c r="E52" s="10"/>
      <c r="F52" s="10"/>
      <c r="G52" s="207">
        <f>+SUM(G49:G51)</f>
        <v>8936.2728849470368</v>
      </c>
      <c r="H52" s="214"/>
      <c r="I52" s="215"/>
      <c r="J52" s="76">
        <f>+SUM(J49:J51)</f>
        <v>45086.74739899156</v>
      </c>
      <c r="K52" s="5"/>
      <c r="L52" s="5"/>
      <c r="M52" s="5"/>
      <c r="N52" s="5"/>
      <c r="O52" s="5"/>
    </row>
    <row r="53" spans="2:15" ht="15" customHeight="1" x14ac:dyDescent="0.2">
      <c r="B53" s="12" t="s">
        <v>33</v>
      </c>
      <c r="C53" s="12"/>
      <c r="D53" s="343" t="s">
        <v>142</v>
      </c>
      <c r="E53" s="12"/>
      <c r="F53" s="12"/>
      <c r="G53" s="218">
        <f>+G52+G48</f>
        <v>12437.578124947036</v>
      </c>
      <c r="H53" s="216"/>
      <c r="I53" s="217"/>
      <c r="J53" s="219">
        <f>+J52+J48</f>
        <v>73542.815317666027</v>
      </c>
      <c r="K53" s="5"/>
      <c r="L53" s="5"/>
      <c r="M53" s="5"/>
      <c r="N53" s="5"/>
      <c r="O53" s="5"/>
    </row>
    <row r="54" spans="2:15" x14ac:dyDescent="0.2">
      <c r="B54" s="13" t="s">
        <v>34</v>
      </c>
      <c r="C54" s="13"/>
      <c r="D54" s="344"/>
      <c r="E54" s="13"/>
      <c r="F54" s="13"/>
      <c r="G54" s="206">
        <f>+G53-G38</f>
        <v>0</v>
      </c>
      <c r="H54" s="206"/>
      <c r="I54" s="206"/>
      <c r="J54" s="206">
        <f>+J53-J38</f>
        <v>-0.15000000000873115</v>
      </c>
      <c r="K54" s="5"/>
      <c r="L54" s="5"/>
      <c r="M54" s="5"/>
      <c r="N54" s="5"/>
      <c r="O54" s="5"/>
    </row>
    <row r="55" spans="2:15" ht="15" x14ac:dyDescent="0.25">
      <c r="B55"/>
      <c r="C55"/>
      <c r="D55" s="345"/>
      <c r="E55"/>
      <c r="F55"/>
      <c r="G55"/>
      <c r="H55"/>
      <c r="I55"/>
      <c r="J55"/>
      <c r="K55" s="5"/>
      <c r="L55" s="5"/>
      <c r="M55" s="5"/>
      <c r="N55" s="5"/>
      <c r="O55" s="5"/>
    </row>
    <row r="56" spans="2:15" ht="15" x14ac:dyDescent="0.25">
      <c r="B56"/>
      <c r="C56"/>
      <c r="D56" s="345"/>
      <c r="E56"/>
      <c r="F56"/>
      <c r="G56"/>
      <c r="H56"/>
      <c r="I56"/>
      <c r="J56"/>
      <c r="K56" s="5"/>
      <c r="L56" s="5"/>
      <c r="M56" s="5"/>
      <c r="N56" s="5"/>
      <c r="O56" s="5"/>
    </row>
    <row r="57" spans="2:15" ht="15" x14ac:dyDescent="0.25">
      <c r="B57"/>
      <c r="C57"/>
      <c r="D57" s="345"/>
      <c r="E57"/>
      <c r="F57"/>
      <c r="G57"/>
      <c r="H57"/>
      <c r="I57"/>
      <c r="J57"/>
      <c r="K57" s="5"/>
      <c r="L57" s="5"/>
      <c r="M57" s="5"/>
      <c r="N57" s="5"/>
      <c r="O57" s="5"/>
    </row>
  </sheetData>
  <pageMargins left="0.7" right="0.7" top="0.75" bottom="0.75" header="0.3" footer="0.3"/>
  <ignoredErrors>
    <ignoredError sqref="J35 J44 J4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0206-F785-497F-8779-6DDA1745AB4C}">
  <dimension ref="A2:V129"/>
  <sheetViews>
    <sheetView showGridLines="0" workbookViewId="0">
      <pane xSplit="8" ySplit="9" topLeftCell="I109" activePane="bottomRight" state="frozen"/>
      <selection pane="topRight" activeCell="H1" sqref="H1"/>
      <selection pane="bottomLeft" activeCell="A13" sqref="A13"/>
      <selection pane="bottomRight" activeCell="G116" sqref="G116"/>
    </sheetView>
  </sheetViews>
  <sheetFormatPr defaultColWidth="8.7109375" defaultRowHeight="11.25" x14ac:dyDescent="0.2"/>
  <cols>
    <col min="1" max="1" width="2.42578125" style="167" customWidth="1"/>
    <col min="2" max="2" width="16.85546875" style="167" customWidth="1"/>
    <col min="3" max="3" width="13.5703125" style="167" customWidth="1"/>
    <col min="4" max="4" width="12.28515625" style="167" customWidth="1"/>
    <col min="5" max="5" width="12.28515625" style="174" customWidth="1"/>
    <col min="6" max="13" width="13.28515625" style="167" customWidth="1"/>
    <col min="14" max="16384" width="8.7109375" style="167"/>
  </cols>
  <sheetData>
    <row r="2" spans="1:22" ht="15" customHeight="1" x14ac:dyDescent="0.2">
      <c r="B2" s="164" t="s">
        <v>165</v>
      </c>
      <c r="C2" s="164"/>
      <c r="D2" s="164"/>
      <c r="E2" s="189"/>
      <c r="F2" s="164"/>
      <c r="G2" s="164"/>
      <c r="H2" s="164"/>
      <c r="I2" s="165"/>
      <c r="J2" s="165"/>
      <c r="K2" s="165"/>
      <c r="L2" s="165"/>
      <c r="M2" s="166"/>
    </row>
    <row r="3" spans="1:22" ht="15" customHeight="1" x14ac:dyDescent="0.2">
      <c r="B3" s="164" t="s">
        <v>128</v>
      </c>
      <c r="C3" s="164"/>
      <c r="D3" s="164"/>
      <c r="E3" s="189"/>
      <c r="F3" s="164"/>
      <c r="G3" s="164"/>
      <c r="H3" s="164"/>
      <c r="I3" s="165"/>
      <c r="J3" s="165"/>
      <c r="K3" s="165"/>
      <c r="L3" s="165"/>
      <c r="M3" s="166"/>
    </row>
    <row r="4" spans="1:22" s="175" customFormat="1" ht="15" customHeight="1" x14ac:dyDescent="0.2">
      <c r="B4" s="176"/>
      <c r="C4" s="176"/>
      <c r="D4" s="176"/>
      <c r="E4" s="190"/>
      <c r="F4" s="176"/>
      <c r="G4" s="176"/>
      <c r="H4" s="176"/>
      <c r="I4" s="163"/>
      <c r="J4" s="163"/>
      <c r="K4" s="163"/>
      <c r="L4" s="163"/>
      <c r="M4" s="177"/>
    </row>
    <row r="5" spans="1:22" ht="15" customHeight="1" x14ac:dyDescent="0.2">
      <c r="B5" s="172" t="s">
        <v>120</v>
      </c>
      <c r="C5" s="173" t="s">
        <v>121</v>
      </c>
      <c r="D5" s="173" t="s">
        <v>124</v>
      </c>
    </row>
    <row r="6" spans="1:22" ht="15" customHeight="1" x14ac:dyDescent="0.2">
      <c r="B6" s="161" t="s">
        <v>41</v>
      </c>
      <c r="C6" s="304">
        <v>46022</v>
      </c>
      <c r="D6" s="305" t="s">
        <v>125</v>
      </c>
    </row>
    <row r="7" spans="1:22" s="2" customFormat="1" ht="15" customHeight="1" x14ac:dyDescent="0.2">
      <c r="B7" s="161" t="s">
        <v>122</v>
      </c>
      <c r="C7" s="306">
        <v>46387</v>
      </c>
      <c r="D7" s="307" t="s">
        <v>125</v>
      </c>
      <c r="E7" s="310"/>
      <c r="F7" s="38" t="s">
        <v>42</v>
      </c>
      <c r="G7" s="38"/>
      <c r="H7" s="39"/>
      <c r="I7" s="38" t="s">
        <v>43</v>
      </c>
      <c r="J7" s="38"/>
      <c r="K7" s="38"/>
      <c r="L7" s="38"/>
      <c r="M7" s="39"/>
      <c r="N7" s="3"/>
      <c r="O7" s="40"/>
      <c r="Q7" s="32"/>
    </row>
    <row r="8" spans="1:22" s="2" customFormat="1" ht="15" customHeight="1" x14ac:dyDescent="0.2">
      <c r="B8" s="161" t="s">
        <v>123</v>
      </c>
      <c r="C8" s="308">
        <v>46752</v>
      </c>
      <c r="D8" s="309" t="s">
        <v>125</v>
      </c>
      <c r="E8" s="192"/>
      <c r="F8" s="404">
        <v>44926</v>
      </c>
      <c r="G8" s="404">
        <v>45291</v>
      </c>
      <c r="H8" s="404">
        <v>45657</v>
      </c>
      <c r="I8" s="404">
        <v>46022</v>
      </c>
      <c r="J8" s="404">
        <v>46387</v>
      </c>
      <c r="K8" s="404">
        <v>46752</v>
      </c>
      <c r="L8" s="404">
        <v>47118</v>
      </c>
      <c r="M8" s="404">
        <v>47483</v>
      </c>
      <c r="N8" s="3"/>
      <c r="O8" s="40"/>
      <c r="Q8" s="32"/>
    </row>
    <row r="9" spans="1:22" s="2" customFormat="1" ht="15" customHeight="1" x14ac:dyDescent="0.2">
      <c r="B9" s="311"/>
      <c r="C9" s="311"/>
      <c r="D9" s="3"/>
      <c r="E9" s="192"/>
      <c r="F9" s="42" t="str">
        <f>"FY"&amp;YEAR(F8)&amp;"A"</f>
        <v>FY2022A</v>
      </c>
      <c r="G9" s="42" t="str">
        <f>"FY"&amp;YEAR(G8)&amp;"A"</f>
        <v>FY2023A</v>
      </c>
      <c r="H9" s="43" t="str">
        <f>"FY"&amp;YEAR(H8)&amp;"PF"</f>
        <v>FY2024PF</v>
      </c>
      <c r="I9" s="44" t="str">
        <f>"FY"&amp;YEAR(I8)&amp;"A"</f>
        <v>FY2025A</v>
      </c>
      <c r="J9" s="44" t="str">
        <f>"FY"&amp;YEAR(J8)&amp;"A"</f>
        <v>FY2026A</v>
      </c>
      <c r="K9" s="44" t="str">
        <f>"FY"&amp;YEAR(K8)&amp;"A"</f>
        <v>FY2027A</v>
      </c>
      <c r="L9" s="44" t="str">
        <f>"FY"&amp;YEAR(L8)&amp;"A"</f>
        <v>FY2028A</v>
      </c>
      <c r="M9" s="43" t="str">
        <f>"FY"&amp;YEAR(M8)&amp;"A"</f>
        <v>FY2029A</v>
      </c>
      <c r="N9" s="3"/>
      <c r="O9" s="40"/>
      <c r="Q9" s="32"/>
    </row>
    <row r="10" spans="1:22" ht="15" customHeight="1" x14ac:dyDescent="0.2">
      <c r="B10" s="161"/>
      <c r="C10" s="161"/>
      <c r="D10" s="161"/>
      <c r="E10" s="312"/>
      <c r="F10" s="161"/>
      <c r="G10" s="161"/>
      <c r="H10" s="161"/>
      <c r="I10" s="161"/>
      <c r="J10" s="161"/>
      <c r="K10" s="161"/>
      <c r="L10" s="161"/>
      <c r="M10" s="161"/>
      <c r="N10" s="161"/>
    </row>
    <row r="11" spans="1:22" s="163" customFormat="1" ht="15" customHeight="1" x14ac:dyDescent="0.2">
      <c r="A11" s="113"/>
      <c r="B11" s="164" t="s">
        <v>112</v>
      </c>
      <c r="C11" s="164"/>
      <c r="D11" s="164"/>
      <c r="E11" s="189"/>
      <c r="F11" s="164"/>
      <c r="G11" s="164"/>
      <c r="H11" s="164"/>
      <c r="I11" s="165"/>
      <c r="J11" s="165"/>
      <c r="K11" s="165"/>
      <c r="L11" s="165"/>
      <c r="M11" s="166"/>
      <c r="N11" s="161"/>
      <c r="O11" s="167"/>
      <c r="P11" s="167"/>
      <c r="Q11" s="167"/>
      <c r="R11" s="162"/>
      <c r="S11" s="113"/>
      <c r="T11" s="113"/>
      <c r="U11" s="113"/>
      <c r="V11" s="113"/>
    </row>
    <row r="12" spans="1:22" ht="15" customHeight="1" x14ac:dyDescent="0.2">
      <c r="B12" s="161"/>
      <c r="C12" s="161"/>
      <c r="D12" s="161"/>
      <c r="E12" s="312"/>
      <c r="F12" s="161"/>
      <c r="G12" s="161"/>
      <c r="H12" s="161"/>
      <c r="I12" s="161"/>
      <c r="J12" s="161"/>
      <c r="K12" s="161"/>
      <c r="L12" s="161"/>
      <c r="M12" s="161"/>
      <c r="N12" s="161"/>
    </row>
    <row r="13" spans="1:22" ht="15" customHeight="1" x14ac:dyDescent="0.2">
      <c r="B13" s="200" t="s">
        <v>53</v>
      </c>
      <c r="C13" s="200"/>
      <c r="D13" s="200"/>
      <c r="E13" s="313" t="s">
        <v>142</v>
      </c>
      <c r="F13" s="314">
        <f t="shared" ref="F13:I13" si="0">+F16+F19+F23+F27</f>
        <v>30571.118161500002</v>
      </c>
      <c r="G13" s="314">
        <f t="shared" si="0"/>
        <v>30347.6740035</v>
      </c>
      <c r="H13" s="314">
        <f t="shared" si="0"/>
        <v>31378.902996000008</v>
      </c>
      <c r="I13" s="314">
        <f t="shared" si="0"/>
        <v>34006.481055920012</v>
      </c>
      <c r="J13" s="314">
        <f>+J16+J19+J23+J27</f>
        <v>35746.610677038407</v>
      </c>
      <c r="K13" s="314">
        <f t="shared" ref="K13:M13" si="1">+K16+K19+K23+K27</f>
        <v>40779.542890579178</v>
      </c>
      <c r="L13" s="314">
        <f t="shared" si="1"/>
        <v>43104.533748390764</v>
      </c>
      <c r="M13" s="314">
        <f t="shared" si="1"/>
        <v>45849.79442335858</v>
      </c>
      <c r="N13" s="161"/>
    </row>
    <row r="14" spans="1:22" ht="15" customHeight="1" x14ac:dyDescent="0.2">
      <c r="B14" s="328" t="s">
        <v>46</v>
      </c>
      <c r="D14" s="161"/>
      <c r="E14" s="312" t="s">
        <v>143</v>
      </c>
      <c r="F14" s="316"/>
      <c r="G14" s="317">
        <f t="shared" ref="G14:M14" si="2">+G13/F13-1</f>
        <v>-7.3089952686584692E-3</v>
      </c>
      <c r="H14" s="317">
        <f t="shared" si="2"/>
        <v>3.3980495255783838E-2</v>
      </c>
      <c r="I14" s="317">
        <f t="shared" si="2"/>
        <v>8.3737091135880348E-2</v>
      </c>
      <c r="J14" s="317">
        <f t="shared" si="2"/>
        <v>5.1170528884095345E-2</v>
      </c>
      <c r="K14" s="317">
        <f t="shared" si="2"/>
        <v>0.14079466887118453</v>
      </c>
      <c r="L14" s="317">
        <f t="shared" si="2"/>
        <v>5.7013656677076252E-2</v>
      </c>
      <c r="M14" s="317">
        <f t="shared" si="2"/>
        <v>6.3688443795550942E-2</v>
      </c>
    </row>
    <row r="15" spans="1:22" ht="15" customHeight="1" x14ac:dyDescent="0.2">
      <c r="B15" s="161"/>
      <c r="D15" s="161"/>
      <c r="E15" s="312"/>
      <c r="F15" s="316"/>
      <c r="G15" s="316"/>
      <c r="H15" s="316"/>
      <c r="I15" s="316"/>
      <c r="J15" s="316"/>
      <c r="K15" s="316"/>
      <c r="L15" s="316"/>
      <c r="M15" s="316"/>
    </row>
    <row r="16" spans="1:22" ht="15" customHeight="1" x14ac:dyDescent="0.2">
      <c r="B16" s="161" t="s">
        <v>116</v>
      </c>
      <c r="D16" s="161"/>
      <c r="E16" s="312" t="s">
        <v>142</v>
      </c>
      <c r="F16" s="318">
        <f>+Historicals!F8</f>
        <v>30571.118161500002</v>
      </c>
      <c r="G16" s="318">
        <f>+Historicals!G8</f>
        <v>30347.6740035</v>
      </c>
      <c r="H16" s="318">
        <f>+Historicals!H8</f>
        <v>31378.902996000008</v>
      </c>
      <c r="I16" s="316">
        <f>+H16*(1+I17)</f>
        <v>32006.481055920009</v>
      </c>
      <c r="J16" s="316">
        <f t="shared" ref="J16" si="3">+I16*(1+J17)</f>
        <v>32646.61067703841</v>
      </c>
      <c r="K16" s="316">
        <f t="shared" ref="K16" si="4">+J16*(1+K17)</f>
        <v>33299.542890579178</v>
      </c>
      <c r="L16" s="316">
        <f t="shared" ref="L16" si="5">+K16*(1+L17)</f>
        <v>33965.533748390764</v>
      </c>
      <c r="M16" s="316">
        <f t="shared" ref="M16" si="6">+L16*(1+M17)</f>
        <v>34644.844423358583</v>
      </c>
    </row>
    <row r="17" spans="2:13" ht="15" customHeight="1" x14ac:dyDescent="0.2">
      <c r="B17" s="315" t="s">
        <v>46</v>
      </c>
      <c r="D17" s="258">
        <v>0.02</v>
      </c>
      <c r="E17" s="319" t="s">
        <v>143</v>
      </c>
      <c r="F17" s="320"/>
      <c r="G17" s="317">
        <f t="shared" ref="G17:H17" si="7">+G16/F16-1</f>
        <v>-7.3089952686584692E-3</v>
      </c>
      <c r="H17" s="317">
        <f t="shared" si="7"/>
        <v>3.3980495255783838E-2</v>
      </c>
      <c r="I17" s="321">
        <f>+$D$17</f>
        <v>0.02</v>
      </c>
      <c r="J17" s="321">
        <f t="shared" ref="J17:M17" si="8">+$D$17</f>
        <v>0.02</v>
      </c>
      <c r="K17" s="321">
        <f t="shared" si="8"/>
        <v>0.02</v>
      </c>
      <c r="L17" s="321">
        <f t="shared" si="8"/>
        <v>0.02</v>
      </c>
      <c r="M17" s="321">
        <f t="shared" si="8"/>
        <v>0.02</v>
      </c>
    </row>
    <row r="18" spans="2:13" ht="15" customHeight="1" x14ac:dyDescent="0.2">
      <c r="B18" s="322"/>
      <c r="D18" s="161"/>
      <c r="E18" s="312"/>
      <c r="F18" s="161"/>
      <c r="G18" s="161"/>
      <c r="H18" s="161"/>
      <c r="I18" s="323"/>
      <c r="J18" s="323"/>
      <c r="K18" s="323"/>
      <c r="L18" s="323"/>
      <c r="M18" s="323"/>
    </row>
    <row r="19" spans="2:13" ht="15" customHeight="1" x14ac:dyDescent="0.2">
      <c r="B19" s="161" t="s">
        <v>214</v>
      </c>
      <c r="D19" s="161"/>
      <c r="E19" s="312" t="s">
        <v>142</v>
      </c>
      <c r="F19" s="324"/>
      <c r="G19" s="324"/>
      <c r="H19" s="324"/>
      <c r="I19" s="316">
        <f>+H19*(1+I21)+IF(AND($D$6="Yes",I$8=$C$6),$D$20,0)</f>
        <v>2000</v>
      </c>
      <c r="J19" s="316">
        <f>+I19*(1+J21)+IF(AND($D$6="Yes",J$8=$C$6),$D$20,0)</f>
        <v>2600</v>
      </c>
      <c r="K19" s="316">
        <f>+J19*(1+K21)+IF(AND($D$6="Yes",K$8=$C$6),$D$20,0)</f>
        <v>3380</v>
      </c>
      <c r="L19" s="316">
        <f>+K19*(1+L21)+IF(AND($D$6="Yes",L$8=$C$6),$D$20,0)</f>
        <v>4394</v>
      </c>
      <c r="M19" s="316">
        <f>+L19*(1+M21)+IF(AND($D$6="Yes",M$8=$C$6),$D$20,0)</f>
        <v>5712.2</v>
      </c>
    </row>
    <row r="20" spans="2:13" ht="15" customHeight="1" x14ac:dyDescent="0.2">
      <c r="B20" s="328" t="s">
        <v>118</v>
      </c>
      <c r="D20" s="259">
        <v>2000</v>
      </c>
      <c r="E20" s="312" t="s">
        <v>142</v>
      </c>
      <c r="F20" s="324"/>
      <c r="G20" s="324"/>
      <c r="H20" s="324"/>
      <c r="I20" s="325"/>
      <c r="J20" s="325"/>
      <c r="K20" s="325"/>
      <c r="L20" s="325"/>
      <c r="M20" s="325"/>
    </row>
    <row r="21" spans="2:13" ht="15" customHeight="1" x14ac:dyDescent="0.2">
      <c r="B21" s="328" t="s">
        <v>46</v>
      </c>
      <c r="D21" s="258">
        <v>0.3</v>
      </c>
      <c r="E21" s="319" t="s">
        <v>143</v>
      </c>
      <c r="F21" s="326"/>
      <c r="G21" s="326"/>
      <c r="H21" s="326"/>
      <c r="I21" s="327">
        <f>+IF(AND($D$6="Yes",I$8&gt;$C$6),$D$21,0)</f>
        <v>0</v>
      </c>
      <c r="J21" s="327">
        <f>+IF(AND($D$6="Yes",J$8&gt;$C$6),$D$21,0)</f>
        <v>0.3</v>
      </c>
      <c r="K21" s="327">
        <f>+IF(AND($D$6="Yes",K$8&gt;$C$6),$D$21,0)</f>
        <v>0.3</v>
      </c>
      <c r="L21" s="327">
        <f>+IF(AND($D$6="Yes",L$8&gt;$C$6),$D$21,0)</f>
        <v>0.3</v>
      </c>
      <c r="M21" s="327">
        <f>+IF(AND($D$6="Yes",M$8&gt;$C$6),$D$21,0)</f>
        <v>0.3</v>
      </c>
    </row>
    <row r="22" spans="2:13" ht="15" customHeight="1" x14ac:dyDescent="0.2">
      <c r="B22" s="322"/>
      <c r="D22" s="161"/>
      <c r="E22" s="312"/>
      <c r="F22" s="326"/>
      <c r="G22" s="326"/>
      <c r="H22" s="326"/>
      <c r="I22" s="323"/>
      <c r="J22" s="323"/>
      <c r="K22" s="323"/>
      <c r="L22" s="323"/>
      <c r="M22" s="323"/>
    </row>
    <row r="23" spans="2:13" ht="15" customHeight="1" x14ac:dyDescent="0.2">
      <c r="B23" s="161" t="s">
        <v>117</v>
      </c>
      <c r="D23" s="161"/>
      <c r="E23" s="312" t="s">
        <v>142</v>
      </c>
      <c r="F23" s="324"/>
      <c r="G23" s="324"/>
      <c r="H23" s="324"/>
      <c r="I23" s="316">
        <f>+H23*(1+I25)+IF(AND($D$7="Yes",I$8=$C$7),$D$24,0)</f>
        <v>0</v>
      </c>
      <c r="J23" s="316">
        <f>+I23*(1+J25)+IF(AND($D$7="Yes",J$8=$C$7),$D$24,0)</f>
        <v>500</v>
      </c>
      <c r="K23" s="316">
        <f>+J23*(1+K25)+IF(AND($D$7="Yes",K$8=$C$7),$D$24,0)</f>
        <v>600</v>
      </c>
      <c r="L23" s="316">
        <f>+K23*(1+L25)+IF(AND($D$7="Yes",L$8=$C$7),$D$24,0)</f>
        <v>720</v>
      </c>
      <c r="M23" s="316">
        <f>+L23*(1+M25)+IF(AND($D$7="Yes",M$8=$C$7),$D$24,0)</f>
        <v>864</v>
      </c>
    </row>
    <row r="24" spans="2:13" ht="15" customHeight="1" x14ac:dyDescent="0.2">
      <c r="B24" s="328" t="s">
        <v>118</v>
      </c>
      <c r="D24" s="259">
        <v>500</v>
      </c>
      <c r="E24" s="312" t="s">
        <v>142</v>
      </c>
      <c r="F24" s="324"/>
      <c r="G24" s="324"/>
      <c r="H24" s="324"/>
      <c r="I24" s="325"/>
      <c r="J24" s="325"/>
      <c r="K24" s="325"/>
      <c r="L24" s="325"/>
      <c r="M24" s="325"/>
    </row>
    <row r="25" spans="2:13" ht="15" customHeight="1" x14ac:dyDescent="0.2">
      <c r="B25" s="328" t="s">
        <v>46</v>
      </c>
      <c r="D25" s="258">
        <v>0.2</v>
      </c>
      <c r="E25" s="319" t="s">
        <v>143</v>
      </c>
      <c r="F25" s="326"/>
      <c r="G25" s="326"/>
      <c r="H25" s="326"/>
      <c r="I25" s="327">
        <f>+IF(AND($D$7="Yes",I$8&gt;$C$7),$D$25,0)</f>
        <v>0</v>
      </c>
      <c r="J25" s="327">
        <f>+IF(AND($D$7="Yes",J$8&gt;$C$7),$D$25,0)</f>
        <v>0</v>
      </c>
      <c r="K25" s="327">
        <f>+IF(AND($D$7="Yes",K$8&gt;$C$7),$D$25,0)</f>
        <v>0.2</v>
      </c>
      <c r="L25" s="327">
        <f>+IF(AND($D$7="Yes",L$8&gt;$C$7),$D$25,0)</f>
        <v>0.2</v>
      </c>
      <c r="M25" s="327">
        <f>+IF(AND($D$7="Yes",M$8&gt;$C$7),$D$25,0)</f>
        <v>0.2</v>
      </c>
    </row>
    <row r="26" spans="2:13" ht="15" customHeight="1" x14ac:dyDescent="0.2">
      <c r="B26" s="322"/>
      <c r="D26" s="161"/>
      <c r="E26" s="312"/>
      <c r="F26" s="161"/>
      <c r="G26" s="161"/>
      <c r="H26" s="161"/>
      <c r="I26" s="161"/>
      <c r="J26" s="161"/>
      <c r="K26" s="161"/>
      <c r="L26" s="161"/>
      <c r="M26" s="161"/>
    </row>
    <row r="27" spans="2:13" ht="15" customHeight="1" x14ac:dyDescent="0.2">
      <c r="B27" s="161" t="s">
        <v>123</v>
      </c>
      <c r="D27" s="161"/>
      <c r="E27" s="312" t="s">
        <v>142</v>
      </c>
      <c r="F27" s="324"/>
      <c r="G27" s="324"/>
      <c r="H27" s="324"/>
      <c r="I27" s="316">
        <f>+H27*(1+I29)+IF(AND($D$8="Yes",I$8=$C$8),$D$28,0)</f>
        <v>0</v>
      </c>
      <c r="J27" s="316">
        <f>+I27*(1+J29)+IF(AND($D$8="Yes",J$8=$C$8),$D$28,0)</f>
        <v>0</v>
      </c>
      <c r="K27" s="316">
        <f>+J27*(1+K29)+IF(AND($D$8="Yes",K$8=$C$8),$D$28,0)</f>
        <v>3500</v>
      </c>
      <c r="L27" s="316">
        <f>+K27*(1+L29)+IF(AND($D$8="Yes",L$8=$C$8),$D$28,0)</f>
        <v>4024.9999999999995</v>
      </c>
      <c r="M27" s="316">
        <f>+L27*(1+M29)+IF(AND($D$8="Yes",M$8=$C$8),$D$28,0)</f>
        <v>4628.7499999999991</v>
      </c>
    </row>
    <row r="28" spans="2:13" ht="15" customHeight="1" x14ac:dyDescent="0.2">
      <c r="B28" s="328" t="s">
        <v>118</v>
      </c>
      <c r="D28" s="259">
        <v>3500</v>
      </c>
      <c r="E28" s="312" t="s">
        <v>142</v>
      </c>
      <c r="F28" s="324"/>
      <c r="G28" s="324"/>
      <c r="H28" s="324"/>
      <c r="I28" s="325"/>
      <c r="J28" s="325"/>
      <c r="K28" s="325"/>
      <c r="L28" s="325"/>
      <c r="M28" s="325"/>
    </row>
    <row r="29" spans="2:13" ht="15" customHeight="1" x14ac:dyDescent="0.2">
      <c r="B29" s="328" t="s">
        <v>46</v>
      </c>
      <c r="D29" s="258">
        <v>0.15</v>
      </c>
      <c r="E29" s="319" t="s">
        <v>143</v>
      </c>
      <c r="F29" s="326"/>
      <c r="G29" s="326"/>
      <c r="H29" s="326"/>
      <c r="I29" s="327">
        <f>+IF(AND($D$8="Yes",I$8&gt;$C$8),$D$29,0)</f>
        <v>0</v>
      </c>
      <c r="J29" s="327">
        <f>+IF(AND($D$8="Yes",J$8&gt;$C$8),$D$29,0)</f>
        <v>0</v>
      </c>
      <c r="K29" s="327">
        <f>+IF(AND($D$8="Yes",K$8&gt;$C$8),$D$29,0)</f>
        <v>0</v>
      </c>
      <c r="L29" s="327">
        <f>+IF(AND($D$8="Yes",L$8&gt;$C$8),$D$29,0)</f>
        <v>0.15</v>
      </c>
      <c r="M29" s="327">
        <f>+IF(AND($D$8="Yes",M$8&gt;$C$8),$D$29,0)</f>
        <v>0.15</v>
      </c>
    </row>
    <row r="30" spans="2:13" ht="15" customHeight="1" x14ac:dyDescent="0.2">
      <c r="B30" s="170"/>
      <c r="D30" s="161"/>
      <c r="E30" s="312"/>
      <c r="F30" s="161"/>
      <c r="G30" s="161"/>
      <c r="H30" s="161"/>
      <c r="I30" s="161"/>
      <c r="J30" s="161"/>
      <c r="K30" s="161"/>
      <c r="L30" s="161"/>
      <c r="M30" s="161"/>
    </row>
    <row r="31" spans="2:13" ht="15" customHeight="1" x14ac:dyDescent="0.2">
      <c r="B31" s="170"/>
      <c r="D31" s="161"/>
      <c r="E31" s="312"/>
      <c r="F31" s="161"/>
      <c r="G31" s="161"/>
      <c r="H31" s="161"/>
      <c r="I31" s="161"/>
      <c r="J31" s="161"/>
      <c r="K31" s="161"/>
      <c r="L31" s="161"/>
      <c r="M31" s="161"/>
    </row>
    <row r="32" spans="2:13" ht="15" customHeight="1" x14ac:dyDescent="0.2">
      <c r="B32" s="168" t="s">
        <v>71</v>
      </c>
      <c r="C32" s="168"/>
      <c r="D32" s="200"/>
      <c r="E32" s="313" t="s">
        <v>142</v>
      </c>
      <c r="F32" s="314">
        <f>+F35+F38+F42</f>
        <v>17512.269986099996</v>
      </c>
      <c r="G32" s="314">
        <f>+G35+G38+G42</f>
        <v>17843.689954620906</v>
      </c>
      <c r="H32" s="314">
        <f>+H35+H38+H42</f>
        <v>17937.420769775184</v>
      </c>
      <c r="I32" s="314">
        <f>+I35+I39+I43+I47</f>
        <v>19388.15298253089</v>
      </c>
      <c r="J32" s="314">
        <f t="shared" ref="J32:M32" si="9">+J35+J39+J43+J47</f>
        <v>20312.859515488915</v>
      </c>
      <c r="K32" s="314">
        <f t="shared" si="9"/>
        <v>23210.507848572244</v>
      </c>
      <c r="L32" s="314">
        <f t="shared" si="9"/>
        <v>24463.505271172718</v>
      </c>
      <c r="M32" s="314">
        <f t="shared" si="9"/>
        <v>25953.620025537781</v>
      </c>
    </row>
    <row r="33" spans="2:13" ht="15" customHeight="1" x14ac:dyDescent="0.2">
      <c r="B33" s="171" t="s">
        <v>126</v>
      </c>
      <c r="D33" s="161"/>
      <c r="E33" s="312" t="s">
        <v>143</v>
      </c>
      <c r="F33" s="317">
        <f>+F32/F13</f>
        <v>0.57283707758371172</v>
      </c>
      <c r="G33" s="317">
        <f t="shared" ref="G33:M33" si="10">+G32/G13</f>
        <v>0.58797553817676407</v>
      </c>
      <c r="H33" s="317">
        <f t="shared" si="10"/>
        <v>0.57163951117289657</v>
      </c>
      <c r="I33" s="317">
        <f t="shared" si="10"/>
        <v>0.57013111561437801</v>
      </c>
      <c r="J33" s="317">
        <f t="shared" si="10"/>
        <v>0.56824574779999337</v>
      </c>
      <c r="K33" s="317">
        <f t="shared" si="10"/>
        <v>0.56917037816856686</v>
      </c>
      <c r="L33" s="317">
        <f t="shared" si="10"/>
        <v>0.56753902997700378</v>
      </c>
      <c r="M33" s="317">
        <f t="shared" si="10"/>
        <v>0.56605750040867098</v>
      </c>
    </row>
    <row r="34" spans="2:13" ht="15" customHeight="1" x14ac:dyDescent="0.2">
      <c r="B34" s="170"/>
      <c r="D34" s="161"/>
      <c r="E34" s="312"/>
      <c r="F34" s="329"/>
      <c r="G34" s="329"/>
      <c r="H34" s="329"/>
      <c r="I34" s="161"/>
      <c r="J34" s="161"/>
      <c r="K34" s="161"/>
      <c r="L34" s="161"/>
      <c r="M34" s="161"/>
    </row>
    <row r="35" spans="2:13" ht="15" customHeight="1" x14ac:dyDescent="0.2">
      <c r="B35" s="167" t="s">
        <v>116</v>
      </c>
      <c r="D35" s="161"/>
      <c r="E35" s="312" t="s">
        <v>142</v>
      </c>
      <c r="F35" s="318">
        <f>+Historicals!F9</f>
        <v>17512.269986099996</v>
      </c>
      <c r="G35" s="318">
        <f>+Historicals!G9</f>
        <v>17843.689954620906</v>
      </c>
      <c r="H35" s="318">
        <f>+Historicals!H9</f>
        <v>17937.420769775184</v>
      </c>
      <c r="I35" s="316">
        <f>+I36*I16</f>
        <v>18216.15298253089</v>
      </c>
      <c r="J35" s="316">
        <f t="shared" ref="J35:M35" si="11">+J36*J16</f>
        <v>18498.859515488915</v>
      </c>
      <c r="K35" s="316">
        <f t="shared" si="11"/>
        <v>18785.587848572246</v>
      </c>
      <c r="L35" s="316">
        <f t="shared" si="11"/>
        <v>19076.385771172718</v>
      </c>
      <c r="M35" s="316">
        <f t="shared" si="11"/>
        <v>19371.30137553778</v>
      </c>
    </row>
    <row r="36" spans="2:13" ht="15" customHeight="1" x14ac:dyDescent="0.2">
      <c r="B36" s="171" t="s">
        <v>126</v>
      </c>
      <c r="D36" s="161"/>
      <c r="E36" s="312" t="s">
        <v>143</v>
      </c>
      <c r="F36" s="321">
        <f>+F35/F16</f>
        <v>0.57283707758371172</v>
      </c>
      <c r="G36" s="321">
        <f>+G35/G16</f>
        <v>0.58797553817676407</v>
      </c>
      <c r="H36" s="321">
        <f>+H35/H16</f>
        <v>0.57163951117289657</v>
      </c>
      <c r="I36" s="321">
        <f>+H36+$D$37</f>
        <v>0.56913951117289663</v>
      </c>
      <c r="J36" s="321">
        <f t="shared" ref="J36:M36" si="12">+I36+$D$37</f>
        <v>0.56663951117289668</v>
      </c>
      <c r="K36" s="321">
        <f t="shared" si="12"/>
        <v>0.56413951117289673</v>
      </c>
      <c r="L36" s="321">
        <f t="shared" si="12"/>
        <v>0.56163951117289679</v>
      </c>
      <c r="M36" s="321">
        <f t="shared" si="12"/>
        <v>0.55913951117289684</v>
      </c>
    </row>
    <row r="37" spans="2:13" ht="15" customHeight="1" x14ac:dyDescent="0.2">
      <c r="B37" s="171" t="s">
        <v>127</v>
      </c>
      <c r="D37" s="258">
        <v>-2.5000000000000001E-3</v>
      </c>
      <c r="E37" s="312" t="s">
        <v>143</v>
      </c>
      <c r="F37" s="161"/>
      <c r="G37" s="161"/>
      <c r="H37" s="161"/>
      <c r="I37" s="317">
        <f>+$D$37</f>
        <v>-2.5000000000000001E-3</v>
      </c>
      <c r="J37" s="317">
        <f t="shared" ref="J37:M37" si="13">+$D$37</f>
        <v>-2.5000000000000001E-3</v>
      </c>
      <c r="K37" s="317">
        <f t="shared" si="13"/>
        <v>-2.5000000000000001E-3</v>
      </c>
      <c r="L37" s="317">
        <f t="shared" si="13"/>
        <v>-2.5000000000000001E-3</v>
      </c>
      <c r="M37" s="317">
        <f t="shared" si="13"/>
        <v>-2.5000000000000001E-3</v>
      </c>
    </row>
    <row r="38" spans="2:13" ht="15" customHeight="1" x14ac:dyDescent="0.2">
      <c r="D38" s="161"/>
      <c r="E38" s="312"/>
      <c r="F38" s="161"/>
      <c r="G38" s="161"/>
      <c r="H38" s="161"/>
      <c r="I38" s="161"/>
      <c r="J38" s="161"/>
      <c r="K38" s="161"/>
      <c r="L38" s="161"/>
      <c r="M38" s="161"/>
    </row>
    <row r="39" spans="2:13" ht="15" customHeight="1" x14ac:dyDescent="0.2">
      <c r="B39" s="167" t="s">
        <v>41</v>
      </c>
      <c r="D39" s="161"/>
      <c r="E39" s="312" t="s">
        <v>142</v>
      </c>
      <c r="F39" s="324"/>
      <c r="G39" s="324"/>
      <c r="H39" s="324"/>
      <c r="I39" s="316">
        <f>+I40*I19</f>
        <v>1172</v>
      </c>
      <c r="J39" s="316">
        <f t="shared" ref="J39:M39" si="14">+J40*J19</f>
        <v>1521</v>
      </c>
      <c r="K39" s="316">
        <f t="shared" si="14"/>
        <v>1973.9199999999998</v>
      </c>
      <c r="L39" s="316">
        <f t="shared" si="14"/>
        <v>2561.7019999999998</v>
      </c>
      <c r="M39" s="316">
        <f t="shared" si="14"/>
        <v>3324.5003999999999</v>
      </c>
    </row>
    <row r="40" spans="2:13" ht="15" customHeight="1" x14ac:dyDescent="0.2">
      <c r="B40" s="171" t="s">
        <v>126</v>
      </c>
      <c r="D40" s="258">
        <v>0.58599999999999997</v>
      </c>
      <c r="E40" s="312" t="s">
        <v>143</v>
      </c>
      <c r="F40" s="321"/>
      <c r="G40" s="321"/>
      <c r="H40" s="321"/>
      <c r="I40" s="321">
        <f>+IF(AND($D$6="Yes",I$8=$C$6),$D$40,H40+I41)</f>
        <v>0.58599999999999997</v>
      </c>
      <c r="J40" s="321">
        <f>+IF(AND($D$6="Yes",J$8=$C$6),$D$40,I40+J41)</f>
        <v>0.58499999999999996</v>
      </c>
      <c r="K40" s="321">
        <f>+IF(AND($D$6="Yes",K$8=$C$6),$D$40,J40+K41)</f>
        <v>0.58399999999999996</v>
      </c>
      <c r="L40" s="321">
        <f>+IF(AND($D$6="Yes",L$8=$C$6),$D$40,K40+L41)</f>
        <v>0.58299999999999996</v>
      </c>
      <c r="M40" s="321">
        <f>+IF(AND($D$6="Yes",M$8=$C$6),$D$40,L40+M41)</f>
        <v>0.58199999999999996</v>
      </c>
    </row>
    <row r="41" spans="2:13" ht="15" customHeight="1" x14ac:dyDescent="0.2">
      <c r="B41" s="171" t="s">
        <v>127</v>
      </c>
      <c r="D41" s="258">
        <v>-1E-3</v>
      </c>
      <c r="E41" s="312" t="s">
        <v>143</v>
      </c>
      <c r="F41" s="161"/>
      <c r="G41" s="161"/>
      <c r="H41" s="161"/>
      <c r="I41" s="317">
        <f>+IF(AND($D$6="Yes",I$8&gt;$C$6),$D$41,0)</f>
        <v>0</v>
      </c>
      <c r="J41" s="317">
        <f>+IF(AND($D$6="Yes",J$8&gt;$C$6),$D$41,0)</f>
        <v>-1E-3</v>
      </c>
      <c r="K41" s="317">
        <f>+IF(AND($D$6="Yes",K$8&gt;$C$6),$D$41,0)</f>
        <v>-1E-3</v>
      </c>
      <c r="L41" s="317">
        <f>+IF(AND($D$6="Yes",L$8&gt;$C$6),$D$41,0)</f>
        <v>-1E-3</v>
      </c>
      <c r="M41" s="317">
        <f>+IF(AND($D$6="Yes",M$8&gt;$C$6),$D$41,0)</f>
        <v>-1E-3</v>
      </c>
    </row>
    <row r="42" spans="2:13" ht="15" customHeight="1" x14ac:dyDescent="0.2">
      <c r="D42" s="161"/>
      <c r="E42" s="312"/>
      <c r="F42" s="161"/>
      <c r="G42" s="161"/>
      <c r="H42" s="161"/>
      <c r="I42" s="161"/>
      <c r="J42" s="161"/>
      <c r="K42" s="161"/>
      <c r="L42" s="161"/>
      <c r="M42" s="161"/>
    </row>
    <row r="43" spans="2:13" ht="15" customHeight="1" x14ac:dyDescent="0.2">
      <c r="B43" s="167" t="s">
        <v>117</v>
      </c>
      <c r="D43" s="161"/>
      <c r="E43" s="312" t="s">
        <v>142</v>
      </c>
      <c r="F43" s="324"/>
      <c r="G43" s="324"/>
      <c r="H43" s="324"/>
      <c r="I43" s="316">
        <f>+I44*I23</f>
        <v>0</v>
      </c>
      <c r="J43" s="316">
        <f t="shared" ref="J43" si="15">+J44*J23</f>
        <v>293</v>
      </c>
      <c r="K43" s="316">
        <f t="shared" ref="K43" si="16">+K44*K23</f>
        <v>351</v>
      </c>
      <c r="L43" s="316">
        <f t="shared" ref="L43" si="17">+L44*L23</f>
        <v>420.47999999999996</v>
      </c>
      <c r="M43" s="316">
        <f t="shared" ref="M43" si="18">+M44*M23</f>
        <v>503.71199999999999</v>
      </c>
    </row>
    <row r="44" spans="2:13" ht="15" customHeight="1" x14ac:dyDescent="0.2">
      <c r="B44" s="171" t="s">
        <v>126</v>
      </c>
      <c r="D44" s="258">
        <v>0.58599999999999997</v>
      </c>
      <c r="E44" s="312" t="s">
        <v>143</v>
      </c>
      <c r="F44" s="321"/>
      <c r="G44" s="321"/>
      <c r="H44" s="321"/>
      <c r="I44" s="321">
        <f>+IF(AND($D$7="Yes",I$8=$C$7),$D$44,H44+I45)</f>
        <v>0</v>
      </c>
      <c r="J44" s="321">
        <f>+IF(AND($D$7="Yes",J$8=$C$7),$D$44,I44+J45)</f>
        <v>0.58599999999999997</v>
      </c>
      <c r="K44" s="321">
        <f>+IF(AND($D$7="Yes",K$8=$C$7),$D$44,J44+K45)</f>
        <v>0.58499999999999996</v>
      </c>
      <c r="L44" s="321">
        <f>+IF(AND($D$7="Yes",L$8=$C$7),$D$44,K44+L45)</f>
        <v>0.58399999999999996</v>
      </c>
      <c r="M44" s="321">
        <f>+IF(AND($D$7="Yes",M$8=$C$7),$D$44,L44+M45)</f>
        <v>0.58299999999999996</v>
      </c>
    </row>
    <row r="45" spans="2:13" ht="15" customHeight="1" x14ac:dyDescent="0.2">
      <c r="B45" s="171" t="s">
        <v>127</v>
      </c>
      <c r="D45" s="258">
        <v>-1E-3</v>
      </c>
      <c r="E45" s="312" t="s">
        <v>143</v>
      </c>
      <c r="F45" s="161"/>
      <c r="G45" s="161"/>
      <c r="H45" s="161"/>
      <c r="I45" s="317">
        <f>+IF(AND($D$7="Yes",I$8&gt;$C$7),$D$45,0)</f>
        <v>0</v>
      </c>
      <c r="J45" s="317">
        <f>+IF(AND($D$7="Yes",J$8&gt;$C$7),$D$45,0)</f>
        <v>0</v>
      </c>
      <c r="K45" s="317">
        <f>+IF(AND($D$7="Yes",K$8&gt;$C$7),$D$45,0)</f>
        <v>-1E-3</v>
      </c>
      <c r="L45" s="317">
        <f>+IF(AND($D$7="Yes",L$8&gt;$C$7),$D$45,0)</f>
        <v>-1E-3</v>
      </c>
      <c r="M45" s="317">
        <f>+IF(AND($D$7="Yes",M$8&gt;$C$7),$D$45,0)</f>
        <v>-1E-3</v>
      </c>
    </row>
    <row r="46" spans="2:13" ht="15" customHeight="1" x14ac:dyDescent="0.2">
      <c r="D46" s="161"/>
      <c r="E46" s="312"/>
      <c r="F46" s="161"/>
      <c r="G46" s="161"/>
      <c r="H46" s="161"/>
      <c r="I46" s="161"/>
      <c r="J46" s="161"/>
      <c r="K46" s="161"/>
      <c r="L46" s="161"/>
      <c r="M46" s="161"/>
    </row>
    <row r="47" spans="2:13" ht="15" customHeight="1" x14ac:dyDescent="0.2">
      <c r="B47" s="167" t="s">
        <v>123</v>
      </c>
      <c r="D47" s="161"/>
      <c r="E47" s="312" t="s">
        <v>142</v>
      </c>
      <c r="F47" s="324"/>
      <c r="G47" s="324"/>
      <c r="H47" s="324"/>
      <c r="I47" s="316">
        <f>+I48*I27</f>
        <v>0</v>
      </c>
      <c r="J47" s="316">
        <f t="shared" ref="J47" si="19">+J48*J27</f>
        <v>0</v>
      </c>
      <c r="K47" s="316">
        <f t="shared" ref="K47" si="20">+K48*K27</f>
        <v>2100</v>
      </c>
      <c r="L47" s="316">
        <f t="shared" ref="L47" si="21">+L48*L27</f>
        <v>2404.9375</v>
      </c>
      <c r="M47" s="316">
        <f t="shared" ref="M47" si="22">+M48*M27</f>
        <v>2754.1062499999998</v>
      </c>
    </row>
    <row r="48" spans="2:13" ht="15" customHeight="1" x14ac:dyDescent="0.2">
      <c r="B48" s="171" t="s">
        <v>126</v>
      </c>
      <c r="D48" s="258">
        <v>0.6</v>
      </c>
      <c r="E48" s="312" t="s">
        <v>143</v>
      </c>
      <c r="F48" s="321"/>
      <c r="G48" s="321"/>
      <c r="H48" s="321"/>
      <c r="I48" s="321">
        <f>+IF(AND($D$8="Yes",I$8=$C$8),$D$48,H48+I49)</f>
        <v>0</v>
      </c>
      <c r="J48" s="321">
        <f>+IF(AND($D$8="Yes",J$8=$C$8),$D$48,I48+J49)</f>
        <v>0</v>
      </c>
      <c r="K48" s="321">
        <f>+IF(AND($D$8="Yes",K$8=$C$8),$D$48,J48+K49)</f>
        <v>0.6</v>
      </c>
      <c r="L48" s="321">
        <f>+IF(AND($D$8="Yes",L$8=$C$8),$D$48,K48+L49)</f>
        <v>0.59750000000000003</v>
      </c>
      <c r="M48" s="321">
        <f>+IF(AND($D$8="Yes",M$8=$C$8),$D$48,L48+M49)</f>
        <v>0.59500000000000008</v>
      </c>
    </row>
    <row r="49" spans="2:13" ht="15" customHeight="1" x14ac:dyDescent="0.2">
      <c r="B49" s="171" t="s">
        <v>127</v>
      </c>
      <c r="D49" s="258">
        <v>-2.5000000000000001E-3</v>
      </c>
      <c r="E49" s="312" t="s">
        <v>143</v>
      </c>
      <c r="F49" s="161"/>
      <c r="G49" s="161"/>
      <c r="H49" s="161"/>
      <c r="I49" s="317">
        <f>+IF(AND($D$8="Yes",I$8&gt;$C$8),$D$49,0)</f>
        <v>0</v>
      </c>
      <c r="J49" s="317">
        <f>+IF(AND($D$8="Yes",J$8&gt;$C$8),$D$49,0)</f>
        <v>0</v>
      </c>
      <c r="K49" s="317">
        <f>+IF(AND($D$8="Yes",K$8&gt;$C$8),$D$49,0)</f>
        <v>0</v>
      </c>
      <c r="L49" s="317">
        <f>+IF(AND($D$8="Yes",L$8&gt;$C$8),$D$49,0)</f>
        <v>-2.5000000000000001E-3</v>
      </c>
      <c r="M49" s="317">
        <f>+IF(AND($D$8="Yes",M$8&gt;$C$8),$D$49,0)</f>
        <v>-2.5000000000000001E-3</v>
      </c>
    </row>
    <row r="50" spans="2:13" ht="15" customHeight="1" x14ac:dyDescent="0.2">
      <c r="D50" s="161"/>
      <c r="E50" s="312"/>
      <c r="F50" s="161"/>
      <c r="G50" s="161"/>
      <c r="H50" s="161"/>
      <c r="I50" s="161"/>
      <c r="J50" s="161"/>
      <c r="K50" s="161"/>
      <c r="L50" s="161"/>
      <c r="M50" s="161"/>
    </row>
    <row r="51" spans="2:13" ht="15" customHeight="1" x14ac:dyDescent="0.2">
      <c r="D51" s="161"/>
      <c r="E51" s="312"/>
      <c r="F51" s="161"/>
      <c r="G51" s="161"/>
      <c r="H51" s="161"/>
      <c r="I51" s="161"/>
      <c r="J51" s="161"/>
      <c r="K51" s="161"/>
      <c r="L51" s="161"/>
      <c r="M51" s="161"/>
    </row>
    <row r="52" spans="2:13" ht="15" customHeight="1" x14ac:dyDescent="0.2">
      <c r="B52" s="168" t="s">
        <v>57</v>
      </c>
      <c r="C52" s="168"/>
      <c r="D52" s="200"/>
      <c r="E52" s="313" t="s">
        <v>142</v>
      </c>
      <c r="F52" s="314">
        <f>+F56+F75+F90</f>
        <v>4973.6759999999995</v>
      </c>
      <c r="G52" s="314">
        <f t="shared" ref="G52:M52" si="23">+G56+G75+G90</f>
        <v>4905.6000000000004</v>
      </c>
      <c r="H52" s="314">
        <f t="shared" si="23"/>
        <v>5123.2280000000001</v>
      </c>
      <c r="I52" s="314">
        <f t="shared" si="23"/>
        <v>5711.6903600000005</v>
      </c>
      <c r="J52" s="314">
        <f t="shared" si="23"/>
        <v>6130.7218572000002</v>
      </c>
      <c r="K52" s="314">
        <f t="shared" si="23"/>
        <v>7428.4738688440011</v>
      </c>
      <c r="L52" s="314">
        <f t="shared" si="23"/>
        <v>7802.1977994458803</v>
      </c>
      <c r="M52" s="314">
        <f t="shared" si="23"/>
        <v>8198.0399313210492</v>
      </c>
    </row>
    <row r="53" spans="2:13" ht="15" customHeight="1" x14ac:dyDescent="0.2">
      <c r="B53" s="171" t="s">
        <v>46</v>
      </c>
      <c r="D53" s="161"/>
      <c r="E53" s="312" t="s">
        <v>143</v>
      </c>
      <c r="F53" s="316"/>
      <c r="G53" s="317">
        <f>+G52/F52-1</f>
        <v>-1.3687260690080971E-2</v>
      </c>
      <c r="H53" s="317">
        <f t="shared" ref="H53:M53" si="24">+H52/G52-1</f>
        <v>4.4363176777560298E-2</v>
      </c>
      <c r="I53" s="317">
        <f t="shared" si="24"/>
        <v>0.11486163801415827</v>
      </c>
      <c r="J53" s="317">
        <f t="shared" si="24"/>
        <v>7.3363832909177473E-2</v>
      </c>
      <c r="K53" s="317">
        <f t="shared" si="24"/>
        <v>0.21168013194399027</v>
      </c>
      <c r="L53" s="317">
        <f t="shared" si="24"/>
        <v>5.0309651376620801E-2</v>
      </c>
      <c r="M53" s="317">
        <f t="shared" si="24"/>
        <v>5.0734695793444473E-2</v>
      </c>
    </row>
    <row r="54" spans="2:13" ht="15" customHeight="1" x14ac:dyDescent="0.2">
      <c r="B54" s="171" t="s">
        <v>126</v>
      </c>
      <c r="D54" s="161"/>
      <c r="E54" s="312" t="s">
        <v>143</v>
      </c>
      <c r="F54" s="316">
        <f t="shared" ref="F54" si="25">+F52/F13</f>
        <v>0.16269198835728688</v>
      </c>
      <c r="G54" s="317">
        <f>+G52/G13</f>
        <v>0.1616466553395241</v>
      </c>
      <c r="H54" s="317">
        <f t="shared" ref="H54:M54" si="26">+H52/H13</f>
        <v>0.1632698249729469</v>
      </c>
      <c r="I54" s="317">
        <f t="shared" si="26"/>
        <v>0.16795887673904683</v>
      </c>
      <c r="J54" s="317">
        <f t="shared" si="26"/>
        <v>0.17150498302033507</v>
      </c>
      <c r="K54" s="317">
        <f t="shared" si="26"/>
        <v>0.18216177382802676</v>
      </c>
      <c r="L54" s="317">
        <f t="shared" si="26"/>
        <v>0.18100643066895863</v>
      </c>
      <c r="M54" s="317">
        <f t="shared" si="26"/>
        <v>0.17880210880824551</v>
      </c>
    </row>
    <row r="55" spans="2:13" ht="15" customHeight="1" x14ac:dyDescent="0.2">
      <c r="D55" s="161"/>
      <c r="E55" s="312"/>
      <c r="F55" s="161"/>
      <c r="G55" s="161"/>
      <c r="H55" s="161"/>
      <c r="I55" s="161"/>
      <c r="J55" s="161"/>
      <c r="K55" s="161"/>
      <c r="L55" s="161"/>
      <c r="M55" s="161"/>
    </row>
    <row r="56" spans="2:13" ht="15" customHeight="1" x14ac:dyDescent="0.2">
      <c r="B56" s="187" t="s">
        <v>47</v>
      </c>
      <c r="C56" s="187"/>
      <c r="D56" s="260"/>
      <c r="E56" s="330" t="s">
        <v>142</v>
      </c>
      <c r="F56" s="331">
        <f>+F59+F62+F66+F70</f>
        <v>3391.79</v>
      </c>
      <c r="G56" s="331">
        <f t="shared" ref="G56:M56" si="27">+G59+G62+G66+G70</f>
        <v>3308.76</v>
      </c>
      <c r="H56" s="331">
        <f t="shared" si="27"/>
        <v>3401.06</v>
      </c>
      <c r="I56" s="331">
        <f t="shared" si="27"/>
        <v>3721.1130000000003</v>
      </c>
      <c r="J56" s="331">
        <f t="shared" si="27"/>
        <v>4064.6686500000005</v>
      </c>
      <c r="K56" s="331">
        <f t="shared" si="27"/>
        <v>4783.6520825000007</v>
      </c>
      <c r="L56" s="331">
        <f t="shared" si="27"/>
        <v>5065.1596866250002</v>
      </c>
      <c r="M56" s="331">
        <f t="shared" si="27"/>
        <v>5364.9751709562506</v>
      </c>
    </row>
    <row r="57" spans="2:13" ht="15" customHeight="1" x14ac:dyDescent="0.2">
      <c r="B57" s="171" t="s">
        <v>46</v>
      </c>
      <c r="D57" s="161"/>
      <c r="E57" s="312" t="s">
        <v>143</v>
      </c>
      <c r="F57" s="318"/>
      <c r="G57" s="321">
        <f>+G56/F56-1</f>
        <v>-2.4479699509698305E-2</v>
      </c>
      <c r="H57" s="321">
        <f>+H56/G56-1</f>
        <v>2.7895646707527755E-2</v>
      </c>
      <c r="I57" s="321">
        <f t="shared" ref="I57:M57" si="28">+I56/H56-1</f>
        <v>9.4103897020340721E-2</v>
      </c>
      <c r="J57" s="321">
        <f t="shared" si="28"/>
        <v>9.2326045997528139E-2</v>
      </c>
      <c r="K57" s="321">
        <f t="shared" si="28"/>
        <v>0.1768861116145346</v>
      </c>
      <c r="L57" s="321">
        <f t="shared" si="28"/>
        <v>5.884784245803254E-2</v>
      </c>
      <c r="M57" s="321">
        <f t="shared" si="28"/>
        <v>5.9191714157194264E-2</v>
      </c>
    </row>
    <row r="58" spans="2:13" ht="15" customHeight="1" x14ac:dyDescent="0.2">
      <c r="D58" s="161"/>
      <c r="E58" s="312"/>
      <c r="F58" s="318"/>
      <c r="G58" s="318"/>
      <c r="H58" s="318"/>
      <c r="I58" s="332"/>
      <c r="J58" s="332"/>
      <c r="K58" s="332"/>
      <c r="L58" s="332"/>
      <c r="M58" s="332"/>
    </row>
    <row r="59" spans="2:13" ht="15" customHeight="1" x14ac:dyDescent="0.2">
      <c r="B59" s="167" t="s">
        <v>116</v>
      </c>
      <c r="D59" s="161"/>
      <c r="E59" s="312" t="s">
        <v>142</v>
      </c>
      <c r="F59" s="318">
        <f>+Historicals!F11</f>
        <v>3391.79</v>
      </c>
      <c r="G59" s="318">
        <f>+Historicals!G11</f>
        <v>3308.76</v>
      </c>
      <c r="H59" s="318">
        <f>+Historicals!H11</f>
        <v>3401.06</v>
      </c>
      <c r="I59" s="332">
        <f>+H59*(1+I60)</f>
        <v>3571.1130000000003</v>
      </c>
      <c r="J59" s="332">
        <f t="shared" ref="J59:M59" si="29">+I59*(1+J60)</f>
        <v>3749.6686500000005</v>
      </c>
      <c r="K59" s="332">
        <f t="shared" si="29"/>
        <v>3937.1520825000007</v>
      </c>
      <c r="L59" s="332">
        <f t="shared" si="29"/>
        <v>4134.0096866250005</v>
      </c>
      <c r="M59" s="332">
        <f t="shared" si="29"/>
        <v>4340.7101709562512</v>
      </c>
    </row>
    <row r="60" spans="2:13" ht="15" customHeight="1" x14ac:dyDescent="0.2">
      <c r="B60" s="171" t="s">
        <v>46</v>
      </c>
      <c r="D60" s="258">
        <v>0.05</v>
      </c>
      <c r="E60" s="319" t="s">
        <v>143</v>
      </c>
      <c r="F60" s="318"/>
      <c r="G60" s="321">
        <f>+G59/F59-1</f>
        <v>-2.4479699509698305E-2</v>
      </c>
      <c r="H60" s="321">
        <f>+H59/G59-1</f>
        <v>2.7895646707527755E-2</v>
      </c>
      <c r="I60" s="321">
        <f>+$D$60</f>
        <v>0.05</v>
      </c>
      <c r="J60" s="321">
        <f t="shared" ref="J60:M60" si="30">+$D$60</f>
        <v>0.05</v>
      </c>
      <c r="K60" s="321">
        <f t="shared" si="30"/>
        <v>0.05</v>
      </c>
      <c r="L60" s="321">
        <f t="shared" si="30"/>
        <v>0.05</v>
      </c>
      <c r="M60" s="321">
        <f t="shared" si="30"/>
        <v>0.05</v>
      </c>
    </row>
    <row r="61" spans="2:13" ht="15" customHeight="1" x14ac:dyDescent="0.2">
      <c r="B61" s="171"/>
      <c r="D61" s="161"/>
      <c r="E61" s="312"/>
      <c r="F61" s="318"/>
      <c r="G61" s="318"/>
      <c r="H61" s="318"/>
      <c r="I61" s="161"/>
      <c r="J61" s="161"/>
      <c r="K61" s="161"/>
      <c r="L61" s="161"/>
      <c r="M61" s="161"/>
    </row>
    <row r="62" spans="2:13" ht="15" customHeight="1" x14ac:dyDescent="0.2">
      <c r="B62" s="167" t="s">
        <v>214</v>
      </c>
      <c r="D62" s="161"/>
      <c r="E62" s="312" t="s">
        <v>142</v>
      </c>
      <c r="F62" s="324"/>
      <c r="G62" s="324"/>
      <c r="H62" s="324"/>
      <c r="I62" s="316">
        <f>+H62*(1+I64)+IF(AND($D$6="Yes",I$8=$C$6),$D$63,0)</f>
        <v>150</v>
      </c>
      <c r="J62" s="316">
        <f>+I62*(1+J64)+IF(AND($D$6="Yes",J$8=$C$6),$D$63,0)</f>
        <v>165</v>
      </c>
      <c r="K62" s="316">
        <f>+J62*(1+K64)+IF(AND($D$6="Yes",K$8=$C$6),$D$63,0)</f>
        <v>181.50000000000003</v>
      </c>
      <c r="L62" s="316">
        <f>+K62*(1+L64)+IF(AND($D$6="Yes",L$8=$C$6),$D$63,0)</f>
        <v>199.65000000000003</v>
      </c>
      <c r="M62" s="316">
        <f>+L62*(1+M64)+IF(AND($D$6="Yes",M$8=$C$6),$D$63,0)</f>
        <v>219.61500000000007</v>
      </c>
    </row>
    <row r="63" spans="2:13" ht="15" customHeight="1" x14ac:dyDescent="0.2">
      <c r="B63" s="170" t="s">
        <v>118</v>
      </c>
      <c r="D63" s="257">
        <v>150</v>
      </c>
      <c r="E63" s="333" t="s">
        <v>142</v>
      </c>
      <c r="F63" s="324"/>
      <c r="G63" s="324"/>
      <c r="H63" s="324"/>
      <c r="I63" s="325"/>
      <c r="J63" s="325"/>
      <c r="K63" s="325"/>
      <c r="L63" s="325"/>
      <c r="M63" s="325"/>
    </row>
    <row r="64" spans="2:13" ht="15" customHeight="1" x14ac:dyDescent="0.2">
      <c r="B64" s="171" t="s">
        <v>46</v>
      </c>
      <c r="D64" s="258">
        <v>0.1</v>
      </c>
      <c r="E64" s="319" t="s">
        <v>143</v>
      </c>
      <c r="F64" s="326"/>
      <c r="G64" s="326"/>
      <c r="H64" s="326"/>
      <c r="I64" s="327">
        <f>+IF(AND($D$6="Yes",I$8&gt;$C$6),$D$64,0)</f>
        <v>0</v>
      </c>
      <c r="J64" s="327">
        <f>+IF(AND($D$6="Yes",J$8&gt;$C$6),$D$64,0)</f>
        <v>0.1</v>
      </c>
      <c r="K64" s="327">
        <f>+IF(AND($D$6="Yes",K$8&gt;$C$6),$D$64,0)</f>
        <v>0.1</v>
      </c>
      <c r="L64" s="327">
        <f>+IF(AND($D$6="Yes",L$8&gt;$C$6),$D$64,0)</f>
        <v>0.1</v>
      </c>
      <c r="M64" s="327">
        <f>+IF(AND($D$6="Yes",M$8&gt;$C$6),$D$64,0)</f>
        <v>0.1</v>
      </c>
    </row>
    <row r="65" spans="2:13" ht="15" customHeight="1" x14ac:dyDescent="0.2">
      <c r="B65" s="170"/>
      <c r="D65" s="161"/>
      <c r="E65" s="312"/>
      <c r="F65" s="326"/>
      <c r="G65" s="326"/>
      <c r="H65" s="326"/>
      <c r="I65" s="323"/>
      <c r="J65" s="323"/>
      <c r="K65" s="323"/>
      <c r="L65" s="323"/>
      <c r="M65" s="323"/>
    </row>
    <row r="66" spans="2:13" ht="15" customHeight="1" x14ac:dyDescent="0.2">
      <c r="B66" s="167" t="s">
        <v>117</v>
      </c>
      <c r="D66" s="161"/>
      <c r="E66" s="312" t="s">
        <v>142</v>
      </c>
      <c r="F66" s="324"/>
      <c r="G66" s="324"/>
      <c r="H66" s="324"/>
      <c r="I66" s="316">
        <f>+H66*(1+I68)+IF(AND($D$7="Yes",I$8=$C$7),$D$67,0)</f>
        <v>0</v>
      </c>
      <c r="J66" s="316">
        <f t="shared" ref="J66:M66" si="31">+I66*(1+J68)+IF(AND($D$7="Yes",J$8=$C$7),$D$67,0)</f>
        <v>150</v>
      </c>
      <c r="K66" s="316">
        <f t="shared" si="31"/>
        <v>165</v>
      </c>
      <c r="L66" s="316">
        <f t="shared" si="31"/>
        <v>181.50000000000003</v>
      </c>
      <c r="M66" s="316">
        <f t="shared" si="31"/>
        <v>199.65000000000003</v>
      </c>
    </row>
    <row r="67" spans="2:13" ht="15" customHeight="1" x14ac:dyDescent="0.2">
      <c r="B67" s="171" t="s">
        <v>118</v>
      </c>
      <c r="D67" s="257">
        <v>150</v>
      </c>
      <c r="E67" s="333" t="s">
        <v>142</v>
      </c>
      <c r="F67" s="324"/>
      <c r="G67" s="324"/>
      <c r="H67" s="324"/>
      <c r="I67" s="325"/>
      <c r="J67" s="325"/>
      <c r="K67" s="325"/>
      <c r="L67" s="325"/>
      <c r="M67" s="325"/>
    </row>
    <row r="68" spans="2:13" ht="15" customHeight="1" x14ac:dyDescent="0.2">
      <c r="B68" s="171" t="s">
        <v>46</v>
      </c>
      <c r="D68" s="258">
        <v>0.1</v>
      </c>
      <c r="E68" s="319" t="s">
        <v>143</v>
      </c>
      <c r="F68" s="326"/>
      <c r="G68" s="326"/>
      <c r="H68" s="326"/>
      <c r="I68" s="327">
        <f>+IF(AND($D$7="Yes",I$8&gt;$C$7),$D$68,0)</f>
        <v>0</v>
      </c>
      <c r="J68" s="327">
        <f t="shared" ref="J68:M68" si="32">+IF(AND($D$7="Yes",J$8&gt;$C$7),$D$68,0)</f>
        <v>0</v>
      </c>
      <c r="K68" s="327">
        <f t="shared" si="32"/>
        <v>0.1</v>
      </c>
      <c r="L68" s="327">
        <f t="shared" si="32"/>
        <v>0.1</v>
      </c>
      <c r="M68" s="327">
        <f t="shared" si="32"/>
        <v>0.1</v>
      </c>
    </row>
    <row r="69" spans="2:13" ht="15" customHeight="1" x14ac:dyDescent="0.2">
      <c r="B69" s="170"/>
      <c r="D69" s="161"/>
      <c r="E69" s="312"/>
      <c r="F69" s="161"/>
      <c r="G69" s="161"/>
      <c r="H69" s="161"/>
      <c r="I69" s="161"/>
      <c r="J69" s="161"/>
      <c r="K69" s="161"/>
      <c r="L69" s="161"/>
      <c r="M69" s="161"/>
    </row>
    <row r="70" spans="2:13" ht="15" customHeight="1" x14ac:dyDescent="0.2">
      <c r="B70" s="167" t="s">
        <v>123</v>
      </c>
      <c r="D70" s="161"/>
      <c r="E70" s="312" t="s">
        <v>142</v>
      </c>
      <c r="F70" s="324"/>
      <c r="G70" s="324"/>
      <c r="H70" s="324"/>
      <c r="I70" s="316">
        <f>+H70*(1+I72)+IF(AND($D$8="Yes",I$8=$C$8),$D$71,0)</f>
        <v>0</v>
      </c>
      <c r="J70" s="316">
        <f t="shared" ref="J70:M70" si="33">+I70*(1+J72)+IF(AND($D$8="Yes",J$8=$C$8),$D$71,0)</f>
        <v>0</v>
      </c>
      <c r="K70" s="316">
        <f t="shared" si="33"/>
        <v>500</v>
      </c>
      <c r="L70" s="316">
        <f t="shared" si="33"/>
        <v>550</v>
      </c>
      <c r="M70" s="316">
        <f t="shared" si="33"/>
        <v>605</v>
      </c>
    </row>
    <row r="71" spans="2:13" ht="15" customHeight="1" x14ac:dyDescent="0.2">
      <c r="B71" s="171" t="s">
        <v>118</v>
      </c>
      <c r="D71" s="257">
        <v>500</v>
      </c>
      <c r="E71" s="333" t="s">
        <v>142</v>
      </c>
      <c r="F71" s="324"/>
      <c r="G71" s="324"/>
      <c r="H71" s="324"/>
      <c r="I71" s="325"/>
      <c r="J71" s="325"/>
      <c r="K71" s="325"/>
      <c r="L71" s="325"/>
      <c r="M71" s="325"/>
    </row>
    <row r="72" spans="2:13" ht="15" customHeight="1" x14ac:dyDescent="0.2">
      <c r="B72" s="171" t="s">
        <v>46</v>
      </c>
      <c r="D72" s="258">
        <v>0.1</v>
      </c>
      <c r="E72" s="319" t="s">
        <v>143</v>
      </c>
      <c r="F72" s="326"/>
      <c r="G72" s="326"/>
      <c r="H72" s="326"/>
      <c r="I72" s="327">
        <f>+IF(AND($D$8="Yes",I$8&gt;$C$8),$D$72,0)</f>
        <v>0</v>
      </c>
      <c r="J72" s="327">
        <f t="shared" ref="J72:M72" si="34">+IF(AND($D$8="Yes",J$8&gt;$C$8),$D$72,0)</f>
        <v>0</v>
      </c>
      <c r="K72" s="327">
        <f t="shared" si="34"/>
        <v>0</v>
      </c>
      <c r="L72" s="327">
        <f t="shared" si="34"/>
        <v>0.1</v>
      </c>
      <c r="M72" s="327">
        <f t="shared" si="34"/>
        <v>0.1</v>
      </c>
    </row>
    <row r="73" spans="2:13" ht="15" customHeight="1" x14ac:dyDescent="0.2">
      <c r="B73" s="171"/>
      <c r="D73" s="161"/>
      <c r="E73" s="312"/>
      <c r="F73" s="318"/>
      <c r="G73" s="318"/>
      <c r="H73" s="318"/>
      <c r="I73" s="161"/>
      <c r="J73" s="161"/>
      <c r="K73" s="161"/>
      <c r="L73" s="161"/>
      <c r="M73" s="161"/>
    </row>
    <row r="74" spans="2:13" ht="15" customHeight="1" x14ac:dyDescent="0.2">
      <c r="D74" s="161"/>
      <c r="E74" s="312"/>
      <c r="F74" s="318"/>
      <c r="G74" s="318"/>
      <c r="H74" s="318"/>
      <c r="I74" s="161"/>
      <c r="J74" s="161"/>
      <c r="K74" s="161"/>
      <c r="L74" s="161"/>
      <c r="M74" s="161"/>
    </row>
    <row r="75" spans="2:13" ht="15" customHeight="1" x14ac:dyDescent="0.2">
      <c r="B75" s="187" t="s">
        <v>107</v>
      </c>
      <c r="C75" s="187"/>
      <c r="D75" s="260"/>
      <c r="E75" s="330" t="s">
        <v>142</v>
      </c>
      <c r="F75" s="334">
        <f>+Historicals!F12</f>
        <v>528.73599999999999</v>
      </c>
      <c r="G75" s="334">
        <f>+Historicals!G12</f>
        <v>575.82000000000005</v>
      </c>
      <c r="H75" s="334">
        <f>+Historicals!H12</f>
        <v>589.96799999999996</v>
      </c>
      <c r="I75" s="335">
        <f>+I79+I82+I86</f>
        <v>801.76735999999994</v>
      </c>
      <c r="J75" s="335">
        <f t="shared" ref="J75:M75" si="35">+J79+J82+J86</f>
        <v>817.80270719999999</v>
      </c>
      <c r="K75" s="335">
        <f t="shared" si="35"/>
        <v>1334.1587613440001</v>
      </c>
      <c r="L75" s="335">
        <f t="shared" si="35"/>
        <v>1360.8419365708801</v>
      </c>
      <c r="M75" s="335">
        <f t="shared" si="35"/>
        <v>1388.0587753022978</v>
      </c>
    </row>
    <row r="76" spans="2:13" ht="15" customHeight="1" x14ac:dyDescent="0.2">
      <c r="B76" s="171" t="s">
        <v>126</v>
      </c>
      <c r="D76" s="161"/>
      <c r="E76" s="312" t="s">
        <v>143</v>
      </c>
      <c r="F76" s="321">
        <f>+F75/F13</f>
        <v>1.7295278413004472E-2</v>
      </c>
      <c r="G76" s="321">
        <f t="shared" ref="G76:M76" si="36">+G75/G13</f>
        <v>1.8974106547130783E-2</v>
      </c>
      <c r="H76" s="321">
        <f t="shared" si="36"/>
        <v>1.8801422091626514E-2</v>
      </c>
      <c r="I76" s="321">
        <f t="shared" si="36"/>
        <v>2.3576898729438647E-2</v>
      </c>
      <c r="J76" s="321">
        <f t="shared" si="36"/>
        <v>2.2877769156596152E-2</v>
      </c>
      <c r="K76" s="321">
        <f t="shared" si="36"/>
        <v>3.2716373622035264E-2</v>
      </c>
      <c r="L76" s="321">
        <f t="shared" si="36"/>
        <v>3.1570737883730965E-2</v>
      </c>
      <c r="M76" s="321">
        <f t="shared" si="36"/>
        <v>3.0274045778384974E-2</v>
      </c>
    </row>
    <row r="77" spans="2:13" ht="15" customHeight="1" x14ac:dyDescent="0.2">
      <c r="B77" s="171" t="s">
        <v>46</v>
      </c>
      <c r="D77" s="161"/>
      <c r="E77" s="312" t="s">
        <v>143</v>
      </c>
      <c r="F77" s="316"/>
      <c r="G77" s="317">
        <f>+G75/F75-1</f>
        <v>8.9050111965139678E-2</v>
      </c>
      <c r="H77" s="317">
        <f t="shared" ref="H77:M77" si="37">+H75/G75-1</f>
        <v>2.4570178180681301E-2</v>
      </c>
      <c r="I77" s="317">
        <f t="shared" si="37"/>
        <v>0.35900143736609436</v>
      </c>
      <c r="J77" s="317">
        <f t="shared" si="37"/>
        <v>2.0000000000000018E-2</v>
      </c>
      <c r="K77" s="317">
        <f t="shared" si="37"/>
        <v>0.63139440551854431</v>
      </c>
      <c r="L77" s="317">
        <f t="shared" si="37"/>
        <v>2.0000000000000018E-2</v>
      </c>
      <c r="M77" s="317">
        <f t="shared" si="37"/>
        <v>2.0000000000000018E-2</v>
      </c>
    </row>
    <row r="78" spans="2:13" ht="15" customHeight="1" x14ac:dyDescent="0.2">
      <c r="D78" s="161"/>
      <c r="E78" s="312"/>
      <c r="F78" s="318"/>
      <c r="G78" s="318"/>
      <c r="H78" s="318"/>
      <c r="I78" s="161"/>
      <c r="J78" s="161"/>
      <c r="K78" s="161"/>
      <c r="L78" s="161"/>
      <c r="M78" s="161"/>
    </row>
    <row r="79" spans="2:13" ht="15" customHeight="1" x14ac:dyDescent="0.2">
      <c r="B79" s="167" t="s">
        <v>116</v>
      </c>
      <c r="D79" s="161"/>
      <c r="E79" s="312" t="s">
        <v>142</v>
      </c>
      <c r="F79" s="318">
        <f>+Historicals!F12</f>
        <v>528.73599999999999</v>
      </c>
      <c r="G79" s="318">
        <f>+Historicals!G12</f>
        <v>575.82000000000005</v>
      </c>
      <c r="H79" s="318">
        <f>+Historicals!H12</f>
        <v>589.96799999999996</v>
      </c>
      <c r="I79" s="316">
        <f>+H79*(1+I80)</f>
        <v>601.76735999999994</v>
      </c>
      <c r="J79" s="316">
        <f t="shared" ref="J79:M79" si="38">+I79*(1+J80)</f>
        <v>613.80270719999999</v>
      </c>
      <c r="K79" s="316">
        <f t="shared" si="38"/>
        <v>626.07876134399999</v>
      </c>
      <c r="L79" s="316">
        <f t="shared" si="38"/>
        <v>638.60033657088002</v>
      </c>
      <c r="M79" s="316">
        <f t="shared" si="38"/>
        <v>651.37234330229762</v>
      </c>
    </row>
    <row r="80" spans="2:13" ht="15" customHeight="1" x14ac:dyDescent="0.2">
      <c r="B80" s="171" t="s">
        <v>46</v>
      </c>
      <c r="D80" s="258">
        <v>0.02</v>
      </c>
      <c r="E80" s="319" t="s">
        <v>143</v>
      </c>
      <c r="F80" s="318"/>
      <c r="G80" s="321">
        <f>+G79/F79-1</f>
        <v>8.9050111965139678E-2</v>
      </c>
      <c r="H80" s="321">
        <f>+H79/G79-1</f>
        <v>2.4570178180681301E-2</v>
      </c>
      <c r="I80" s="321">
        <f>+$D$80</f>
        <v>0.02</v>
      </c>
      <c r="J80" s="321">
        <f t="shared" ref="J80:M80" si="39">+$D$80</f>
        <v>0.02</v>
      </c>
      <c r="K80" s="321">
        <f t="shared" si="39"/>
        <v>0.02</v>
      </c>
      <c r="L80" s="321">
        <f t="shared" si="39"/>
        <v>0.02</v>
      </c>
      <c r="M80" s="321">
        <f t="shared" si="39"/>
        <v>0.02</v>
      </c>
    </row>
    <row r="81" spans="2:13" ht="15" customHeight="1" x14ac:dyDescent="0.2">
      <c r="D81" s="161"/>
      <c r="E81" s="312"/>
      <c r="F81" s="318"/>
      <c r="G81" s="318"/>
      <c r="H81" s="318"/>
      <c r="I81" s="161"/>
      <c r="J81" s="161"/>
      <c r="K81" s="161"/>
      <c r="L81" s="161"/>
      <c r="M81" s="161"/>
    </row>
    <row r="82" spans="2:13" ht="15" customHeight="1" x14ac:dyDescent="0.2">
      <c r="B82" s="167" t="s">
        <v>133</v>
      </c>
      <c r="D82" s="161"/>
      <c r="E82" s="312" t="s">
        <v>142</v>
      </c>
      <c r="F82" s="324"/>
      <c r="G82" s="324"/>
      <c r="H82" s="324"/>
      <c r="I82" s="204">
        <f>+D84</f>
        <v>200</v>
      </c>
      <c r="J82" s="316">
        <f>+I82*(1+$D$83)</f>
        <v>204</v>
      </c>
      <c r="K82" s="316">
        <f t="shared" ref="K82:M82" si="40">+J82*(1+$D$83)</f>
        <v>208.08</v>
      </c>
      <c r="L82" s="316">
        <f t="shared" si="40"/>
        <v>212.24160000000001</v>
      </c>
      <c r="M82" s="316">
        <f t="shared" si="40"/>
        <v>216.48643200000001</v>
      </c>
    </row>
    <row r="83" spans="2:13" ht="15" customHeight="1" x14ac:dyDescent="0.2">
      <c r="B83" s="171" t="s">
        <v>46</v>
      </c>
      <c r="D83" s="258">
        <v>0.02</v>
      </c>
      <c r="E83" s="319" t="s">
        <v>143</v>
      </c>
      <c r="F83" s="318"/>
      <c r="G83" s="318"/>
      <c r="H83" s="318"/>
      <c r="I83" s="161"/>
      <c r="J83" s="317">
        <f>+J82/I82-1</f>
        <v>2.0000000000000018E-2</v>
      </c>
      <c r="K83" s="317">
        <f t="shared" ref="K83:M83" si="41">+K82/J82-1</f>
        <v>2.0000000000000018E-2</v>
      </c>
      <c r="L83" s="317">
        <f t="shared" si="41"/>
        <v>2.0000000000000018E-2</v>
      </c>
      <c r="M83" s="317">
        <f t="shared" si="41"/>
        <v>2.0000000000000018E-2</v>
      </c>
    </row>
    <row r="84" spans="2:13" ht="15" customHeight="1" x14ac:dyDescent="0.2">
      <c r="B84" s="171" t="s">
        <v>134</v>
      </c>
      <c r="D84" s="257">
        <v>200</v>
      </c>
      <c r="E84" s="333" t="s">
        <v>142</v>
      </c>
      <c r="F84" s="318"/>
      <c r="G84" s="318"/>
      <c r="H84" s="318"/>
      <c r="I84" s="161"/>
      <c r="J84" s="161"/>
      <c r="K84" s="161"/>
      <c r="L84" s="161"/>
      <c r="M84" s="161"/>
    </row>
    <row r="85" spans="2:13" ht="15" customHeight="1" x14ac:dyDescent="0.2">
      <c r="D85" s="161"/>
      <c r="E85" s="312"/>
      <c r="F85" s="318"/>
      <c r="G85" s="318"/>
      <c r="H85" s="318"/>
      <c r="I85" s="161"/>
      <c r="J85" s="161"/>
      <c r="K85" s="161"/>
      <c r="L85" s="161"/>
      <c r="M85" s="161"/>
    </row>
    <row r="86" spans="2:13" ht="15" customHeight="1" x14ac:dyDescent="0.2">
      <c r="B86" s="167" t="s">
        <v>123</v>
      </c>
      <c r="D86" s="161"/>
      <c r="E86" s="312" t="s">
        <v>142</v>
      </c>
      <c r="F86" s="324"/>
      <c r="G86" s="324"/>
      <c r="H86" s="324"/>
      <c r="I86" s="161">
        <f>+IF(AND($C$8=I$8,$D$8="Yes"),$D$88,H86*(1+I87))</f>
        <v>0</v>
      </c>
      <c r="J86" s="316">
        <f>+IF(AND($C$8=J$8,$D$8="Yes"),$D$88,I86*(1+J87))</f>
        <v>0</v>
      </c>
      <c r="K86" s="316">
        <f>+IF(AND($C$8=K$8,$D$8="Yes"),$D$88,J86*(1+K87))</f>
        <v>500</v>
      </c>
      <c r="L86" s="316">
        <f>+IF(AND($C$8=L$8,$D$8="Yes"),$D$88,K86*(1+L87))</f>
        <v>510</v>
      </c>
      <c r="M86" s="316">
        <f>+IF(AND($C$8=M$8,$D$8="Yes"),$D$88,L86*(1+M87))</f>
        <v>520.20000000000005</v>
      </c>
    </row>
    <row r="87" spans="2:13" ht="15" customHeight="1" x14ac:dyDescent="0.2">
      <c r="B87" s="171" t="s">
        <v>46</v>
      </c>
      <c r="D87" s="258">
        <v>0.02</v>
      </c>
      <c r="E87" s="319" t="s">
        <v>143</v>
      </c>
      <c r="F87" s="161"/>
      <c r="G87" s="318"/>
      <c r="H87" s="318"/>
      <c r="I87" s="317">
        <f>+IF(AND($C$8&lt;I$8,$D$8="Yes"),$D$87,0)</f>
        <v>0</v>
      </c>
      <c r="J87" s="317">
        <f>+IF(AND($C$8&lt;J$8,$D$8="Yes"),$D$87,0)</f>
        <v>0</v>
      </c>
      <c r="K87" s="317">
        <f>+IF(AND($C$8&lt;K$8,$D$8="Yes"),$D$87,0)</f>
        <v>0</v>
      </c>
      <c r="L87" s="317">
        <f>+IF(AND($C$8&lt;L$8,$D$8="Yes"),$D$87,0)</f>
        <v>0.02</v>
      </c>
      <c r="M87" s="317">
        <f>+IF(AND($C$8&lt;M$8,$D$8="Yes"),$D$87,0)</f>
        <v>0.02</v>
      </c>
    </row>
    <row r="88" spans="2:13" ht="15" customHeight="1" x14ac:dyDescent="0.2">
      <c r="B88" s="171" t="s">
        <v>134</v>
      </c>
      <c r="D88" s="257">
        <v>500</v>
      </c>
      <c r="E88" s="333" t="s">
        <v>142</v>
      </c>
      <c r="F88" s="318"/>
      <c r="G88" s="318"/>
      <c r="H88" s="318"/>
      <c r="I88" s="161"/>
      <c r="J88" s="161"/>
      <c r="K88" s="161"/>
      <c r="L88" s="161"/>
      <c r="M88" s="161"/>
    </row>
    <row r="89" spans="2:13" ht="15" customHeight="1" x14ac:dyDescent="0.2">
      <c r="D89" s="161"/>
      <c r="E89" s="312"/>
      <c r="F89" s="318"/>
      <c r="G89" s="318"/>
      <c r="H89" s="318"/>
      <c r="I89" s="161"/>
      <c r="J89" s="161"/>
      <c r="K89" s="161"/>
      <c r="L89" s="161"/>
      <c r="M89" s="161"/>
    </row>
    <row r="90" spans="2:13" ht="15" customHeight="1" x14ac:dyDescent="0.2">
      <c r="B90" s="187" t="s">
        <v>129</v>
      </c>
      <c r="C90" s="187"/>
      <c r="D90" s="260"/>
      <c r="E90" s="330" t="s">
        <v>142</v>
      </c>
      <c r="F90" s="334">
        <f>+Historicals!F13</f>
        <v>1053.1500000000001</v>
      </c>
      <c r="G90" s="334">
        <f>+Historicals!G13</f>
        <v>1021.02</v>
      </c>
      <c r="H90" s="334">
        <f>+Historicals!H13</f>
        <v>1132.2</v>
      </c>
      <c r="I90" s="335">
        <f>+H90*(1+I91)</f>
        <v>1188.8100000000002</v>
      </c>
      <c r="J90" s="335">
        <f t="shared" ref="J90:M90" si="42">+I90*(1+J91)</f>
        <v>1248.2505000000003</v>
      </c>
      <c r="K90" s="335">
        <f t="shared" si="42"/>
        <v>1310.6630250000003</v>
      </c>
      <c r="L90" s="335">
        <f t="shared" si="42"/>
        <v>1376.1961762500005</v>
      </c>
      <c r="M90" s="335">
        <f t="shared" si="42"/>
        <v>1445.0059850625005</v>
      </c>
    </row>
    <row r="91" spans="2:13" ht="15" customHeight="1" x14ac:dyDescent="0.2">
      <c r="B91" s="171" t="s">
        <v>46</v>
      </c>
      <c r="D91" s="261">
        <v>0.05</v>
      </c>
      <c r="E91" s="319" t="s">
        <v>143</v>
      </c>
      <c r="F91" s="161"/>
      <c r="G91" s="317">
        <f>+G90/F90-1</f>
        <v>-3.0508474576271261E-2</v>
      </c>
      <c r="H91" s="317">
        <f>+H90/G90-1</f>
        <v>0.10889110889110887</v>
      </c>
      <c r="I91" s="317">
        <f>+$D$91</f>
        <v>0.05</v>
      </c>
      <c r="J91" s="317">
        <f t="shared" ref="J91:M91" si="43">+$D$91</f>
        <v>0.05</v>
      </c>
      <c r="K91" s="317">
        <f t="shared" si="43"/>
        <v>0.05</v>
      </c>
      <c r="L91" s="317">
        <f t="shared" si="43"/>
        <v>0.05</v>
      </c>
      <c r="M91" s="317">
        <f t="shared" si="43"/>
        <v>0.05</v>
      </c>
    </row>
    <row r="92" spans="2:13" ht="15" customHeight="1" x14ac:dyDescent="0.2">
      <c r="B92" s="171"/>
      <c r="D92" s="161"/>
      <c r="E92" s="312"/>
      <c r="F92" s="161"/>
      <c r="G92" s="317"/>
      <c r="H92" s="317"/>
      <c r="I92" s="317"/>
      <c r="J92" s="317"/>
      <c r="K92" s="317"/>
      <c r="L92" s="317"/>
      <c r="M92" s="317"/>
    </row>
    <row r="93" spans="2:13" ht="15" customHeight="1" x14ac:dyDescent="0.2">
      <c r="D93" s="161"/>
      <c r="E93" s="312"/>
      <c r="F93" s="161"/>
      <c r="G93" s="161"/>
      <c r="H93" s="161"/>
      <c r="I93" s="161"/>
      <c r="J93" s="161"/>
      <c r="K93" s="161"/>
      <c r="L93" s="161"/>
      <c r="M93" s="161"/>
    </row>
    <row r="94" spans="2:13" ht="15" customHeight="1" x14ac:dyDescent="0.2">
      <c r="B94" s="168" t="s">
        <v>136</v>
      </c>
      <c r="C94" s="168"/>
      <c r="D94" s="200"/>
      <c r="E94" s="313"/>
      <c r="F94" s="314"/>
      <c r="G94" s="314"/>
      <c r="H94" s="314"/>
      <c r="I94" s="314"/>
      <c r="J94" s="314"/>
      <c r="K94" s="314"/>
      <c r="L94" s="314"/>
      <c r="M94" s="314"/>
    </row>
    <row r="95" spans="2:13" ht="15" customHeight="1" x14ac:dyDescent="0.2">
      <c r="D95" s="161"/>
      <c r="E95" s="312"/>
      <c r="F95" s="324"/>
      <c r="G95" s="324"/>
      <c r="H95" s="324"/>
      <c r="I95" s="161"/>
      <c r="J95" s="161"/>
      <c r="K95" s="161"/>
      <c r="L95" s="161"/>
      <c r="M95" s="161"/>
    </row>
    <row r="96" spans="2:13" ht="15" customHeight="1" x14ac:dyDescent="0.2">
      <c r="B96" s="167" t="s">
        <v>139</v>
      </c>
      <c r="D96" s="161"/>
      <c r="E96" s="312" t="s">
        <v>143</v>
      </c>
      <c r="F96" s="195">
        <f t="shared" ref="F96:M96" si="44">+(F16+F19+F23)/F13</f>
        <v>1</v>
      </c>
      <c r="G96" s="195">
        <f t="shared" si="44"/>
        <v>1</v>
      </c>
      <c r="H96" s="195">
        <f t="shared" si="44"/>
        <v>1</v>
      </c>
      <c r="I96" s="195">
        <f t="shared" si="44"/>
        <v>1</v>
      </c>
      <c r="J96" s="195">
        <f t="shared" si="44"/>
        <v>1</v>
      </c>
      <c r="K96" s="195">
        <f t="shared" si="44"/>
        <v>0.91417265246471013</v>
      </c>
      <c r="L96" s="195">
        <f t="shared" si="44"/>
        <v>0.90662235152583537</v>
      </c>
      <c r="M96" s="195">
        <f t="shared" si="44"/>
        <v>0.89904534887855803</v>
      </c>
    </row>
    <row r="97" spans="2:13" ht="15" customHeight="1" x14ac:dyDescent="0.2">
      <c r="B97" s="167" t="s">
        <v>140</v>
      </c>
      <c r="D97" s="161"/>
      <c r="E97" s="312" t="s">
        <v>143</v>
      </c>
      <c r="F97" s="195">
        <f>F27/F13</f>
        <v>0</v>
      </c>
      <c r="G97" s="195">
        <f t="shared" ref="G97:M97" si="45">G27/G13</f>
        <v>0</v>
      </c>
      <c r="H97" s="195">
        <f t="shared" si="45"/>
        <v>0</v>
      </c>
      <c r="I97" s="195">
        <f t="shared" si="45"/>
        <v>0</v>
      </c>
      <c r="J97" s="195">
        <f t="shared" si="45"/>
        <v>0</v>
      </c>
      <c r="K97" s="195">
        <f t="shared" si="45"/>
        <v>8.5827347535289908E-2</v>
      </c>
      <c r="L97" s="195">
        <f t="shared" si="45"/>
        <v>9.3377648474164646E-2</v>
      </c>
      <c r="M97" s="195">
        <f t="shared" si="45"/>
        <v>0.10095465112144193</v>
      </c>
    </row>
    <row r="98" spans="2:13" ht="15" customHeight="1" x14ac:dyDescent="0.2">
      <c r="D98" s="161"/>
      <c r="E98" s="312"/>
      <c r="F98" s="195"/>
      <c r="G98" s="195"/>
      <c r="H98" s="195"/>
      <c r="I98" s="195"/>
      <c r="J98" s="195"/>
      <c r="K98" s="195"/>
      <c r="L98" s="195"/>
      <c r="M98" s="195"/>
    </row>
    <row r="99" spans="2:13" ht="15" customHeight="1" x14ac:dyDescent="0.2">
      <c r="B99" s="167" t="s">
        <v>141</v>
      </c>
      <c r="D99" s="161"/>
      <c r="E99" s="312" t="s">
        <v>143</v>
      </c>
      <c r="F99" s="195">
        <f>+F96*$D$100+F97*$D$101</f>
        <v>0.35</v>
      </c>
      <c r="G99" s="195">
        <f t="shared" ref="G99:M99" si="46">+G96*$D$100+G97*$D$101</f>
        <v>0.35</v>
      </c>
      <c r="H99" s="195">
        <f t="shared" si="46"/>
        <v>0.35</v>
      </c>
      <c r="I99" s="195">
        <f t="shared" si="46"/>
        <v>0.35</v>
      </c>
      <c r="J99" s="195">
        <f t="shared" si="46"/>
        <v>0.35</v>
      </c>
      <c r="K99" s="195">
        <f t="shared" si="46"/>
        <v>0.34141726524647104</v>
      </c>
      <c r="L99" s="195">
        <f t="shared" si="46"/>
        <v>0.34066223515258354</v>
      </c>
      <c r="M99" s="195">
        <f t="shared" si="46"/>
        <v>0.33990453488785577</v>
      </c>
    </row>
    <row r="100" spans="2:13" ht="15" customHeight="1" x14ac:dyDescent="0.2">
      <c r="B100" s="171" t="s">
        <v>138</v>
      </c>
      <c r="D100" s="258">
        <v>0.35</v>
      </c>
      <c r="E100" s="319"/>
      <c r="F100" s="161"/>
      <c r="G100" s="161"/>
      <c r="H100" s="161"/>
      <c r="I100" s="161"/>
      <c r="J100" s="161"/>
      <c r="K100" s="161"/>
      <c r="L100" s="161"/>
      <c r="M100" s="161"/>
    </row>
    <row r="101" spans="2:13" ht="15" customHeight="1" x14ac:dyDescent="0.2">
      <c r="B101" s="171" t="s">
        <v>137</v>
      </c>
      <c r="D101" s="258">
        <v>0.25</v>
      </c>
      <c r="E101" s="319"/>
      <c r="F101" s="161"/>
      <c r="G101" s="161"/>
      <c r="H101" s="161"/>
      <c r="I101" s="161"/>
      <c r="J101" s="161"/>
      <c r="K101" s="161"/>
      <c r="L101" s="161"/>
      <c r="M101" s="161"/>
    </row>
    <row r="102" spans="2:13" ht="15" customHeight="1" x14ac:dyDescent="0.2">
      <c r="D102" s="161"/>
      <c r="E102" s="312"/>
      <c r="F102" s="161"/>
      <c r="G102" s="161"/>
      <c r="H102" s="161"/>
      <c r="I102" s="161"/>
      <c r="J102" s="161"/>
      <c r="K102" s="161"/>
      <c r="L102" s="161"/>
      <c r="M102" s="161"/>
    </row>
    <row r="103" spans="2:13" ht="15" customHeight="1" x14ac:dyDescent="0.2">
      <c r="D103" s="161"/>
      <c r="E103" s="312"/>
      <c r="F103" s="161"/>
      <c r="G103" s="161"/>
      <c r="H103" s="161"/>
      <c r="I103" s="161"/>
      <c r="J103" s="161"/>
      <c r="K103" s="161"/>
      <c r="L103" s="161"/>
      <c r="M103" s="161"/>
    </row>
    <row r="104" spans="2:13" ht="15" customHeight="1" x14ac:dyDescent="0.2">
      <c r="B104" s="164" t="s">
        <v>135</v>
      </c>
      <c r="C104" s="164"/>
      <c r="D104" s="164"/>
      <c r="E104" s="189"/>
      <c r="F104" s="164"/>
      <c r="G104" s="164"/>
      <c r="H104" s="164"/>
      <c r="I104" s="165"/>
      <c r="J104" s="165"/>
      <c r="K104" s="165"/>
      <c r="L104" s="165"/>
      <c r="M104" s="166"/>
    </row>
    <row r="105" spans="2:13" ht="15" customHeight="1" x14ac:dyDescent="0.2">
      <c r="D105" s="161"/>
      <c r="E105" s="312"/>
      <c r="F105" s="161"/>
      <c r="G105" s="161"/>
      <c r="H105" s="161"/>
      <c r="I105" s="161"/>
      <c r="J105" s="161"/>
      <c r="K105" s="161"/>
      <c r="L105" s="161"/>
      <c r="M105" s="161"/>
    </row>
    <row r="106" spans="2:13" ht="15" customHeight="1" x14ac:dyDescent="0.2">
      <c r="B106" s="167" t="s">
        <v>145</v>
      </c>
      <c r="D106" s="161"/>
      <c r="E106" s="312" t="s">
        <v>144</v>
      </c>
      <c r="F106" s="318">
        <f>+Historicals!F23/Historicals!F8*365</f>
        <v>40.018072265040523</v>
      </c>
      <c r="G106" s="318">
        <f>+Historicals!G23/Historicals!G8*365</f>
        <v>45.224240290762161</v>
      </c>
      <c r="H106" s="318">
        <f>+Historicals!H23/Historicals!H8*365</f>
        <v>46.549345175999221</v>
      </c>
      <c r="I106" s="316">
        <f t="shared" ref="I106:J108" si="47">+H106</f>
        <v>46.549345175999221</v>
      </c>
      <c r="J106" s="316">
        <f t="shared" si="47"/>
        <v>46.549345175999221</v>
      </c>
      <c r="K106" s="316">
        <f t="shared" ref="K106:M108" si="48">+J106</f>
        <v>46.549345175999221</v>
      </c>
      <c r="L106" s="316">
        <f t="shared" si="48"/>
        <v>46.549345175999221</v>
      </c>
      <c r="M106" s="316">
        <f t="shared" si="48"/>
        <v>46.549345175999221</v>
      </c>
    </row>
    <row r="107" spans="2:13" ht="15" customHeight="1" x14ac:dyDescent="0.2">
      <c r="B107" s="167" t="s">
        <v>146</v>
      </c>
      <c r="D107" s="161"/>
      <c r="E107" s="312" t="s">
        <v>144</v>
      </c>
      <c r="F107" s="318">
        <f>+Historicals!F24/Historicals!F9*365</f>
        <v>51.044185873077254</v>
      </c>
      <c r="G107" s="318">
        <f>+Historicals!G24/Historicals!G9*365</f>
        <v>58.135889116167483</v>
      </c>
      <c r="H107" s="318">
        <f>+Historicals!H24/Historicals!H9*365</f>
        <v>53.055767178315243</v>
      </c>
      <c r="I107" s="316">
        <f t="shared" si="47"/>
        <v>53.055767178315243</v>
      </c>
      <c r="J107" s="316">
        <f t="shared" si="47"/>
        <v>53.055767178315243</v>
      </c>
      <c r="K107" s="316">
        <f t="shared" si="48"/>
        <v>53.055767178315243</v>
      </c>
      <c r="L107" s="316">
        <f t="shared" si="48"/>
        <v>53.055767178315243</v>
      </c>
      <c r="M107" s="316">
        <f t="shared" si="48"/>
        <v>53.055767178315243</v>
      </c>
    </row>
    <row r="108" spans="2:13" ht="15" customHeight="1" x14ac:dyDescent="0.2">
      <c r="B108" s="167" t="s">
        <v>180</v>
      </c>
      <c r="D108" s="161"/>
      <c r="E108" s="312" t="s">
        <v>144</v>
      </c>
      <c r="F108" s="318">
        <f>+Historicals!F30/(Historicals!F9+SUM(Historicals!F11:F13))*365</f>
        <v>20.646000430089952</v>
      </c>
      <c r="G108" s="318">
        <f>+Historicals!G30/(Historicals!G9+SUM(Historicals!G11:G13))*365</f>
        <v>18.98918700397736</v>
      </c>
      <c r="H108" s="318">
        <f>+Historicals!H30/(Historicals!H9+SUM(Historicals!H11:H13))*365</f>
        <v>28.504293253732612</v>
      </c>
      <c r="I108" s="316">
        <f t="shared" si="47"/>
        <v>28.504293253732612</v>
      </c>
      <c r="J108" s="316">
        <f t="shared" si="47"/>
        <v>28.504293253732612</v>
      </c>
      <c r="K108" s="316">
        <f t="shared" si="48"/>
        <v>28.504293253732612</v>
      </c>
      <c r="L108" s="316">
        <f t="shared" si="48"/>
        <v>28.504293253732612</v>
      </c>
      <c r="M108" s="316">
        <f t="shared" si="48"/>
        <v>28.504293253732612</v>
      </c>
    </row>
    <row r="109" spans="2:13" ht="15" customHeight="1" x14ac:dyDescent="0.2">
      <c r="D109" s="161"/>
      <c r="E109" s="312"/>
      <c r="F109" s="161"/>
      <c r="G109" s="161"/>
      <c r="H109" s="161"/>
      <c r="I109" s="161"/>
      <c r="J109" s="161"/>
      <c r="K109" s="161"/>
      <c r="L109" s="161"/>
      <c r="M109" s="161"/>
    </row>
    <row r="110" spans="2:13" ht="15" customHeight="1" x14ac:dyDescent="0.2">
      <c r="B110" s="164" t="s">
        <v>147</v>
      </c>
      <c r="C110" s="164"/>
      <c r="D110" s="164"/>
      <c r="E110" s="189"/>
      <c r="F110" s="164"/>
      <c r="G110" s="164"/>
      <c r="H110" s="164"/>
      <c r="I110" s="165"/>
      <c r="J110" s="165"/>
      <c r="K110" s="165"/>
      <c r="L110" s="165"/>
      <c r="M110" s="166"/>
    </row>
    <row r="111" spans="2:13" ht="15" customHeight="1" x14ac:dyDescent="0.2">
      <c r="D111" s="161"/>
      <c r="E111" s="312"/>
      <c r="F111" s="161"/>
      <c r="G111" s="161"/>
      <c r="H111" s="161"/>
      <c r="I111" s="161"/>
      <c r="J111" s="161"/>
      <c r="K111" s="161"/>
      <c r="L111" s="161"/>
      <c r="M111" s="161"/>
    </row>
    <row r="112" spans="2:13" ht="15" customHeight="1" x14ac:dyDescent="0.2">
      <c r="B112" s="168" t="s">
        <v>147</v>
      </c>
      <c r="C112" s="168"/>
      <c r="D112" s="200"/>
      <c r="E112" s="313" t="s">
        <v>142</v>
      </c>
      <c r="F112" s="314">
        <f>+F116+F136+F151</f>
        <v>0</v>
      </c>
      <c r="G112" s="314">
        <f>+G116+G136+G151</f>
        <v>0</v>
      </c>
      <c r="H112" s="314">
        <f>+H116+H136+H151</f>
        <v>0</v>
      </c>
      <c r="I112" s="314">
        <f>+I115+I118</f>
        <v>1280.1296211184003</v>
      </c>
      <c r="J112" s="314">
        <f t="shared" ref="J112:M112" si="49">+J115+J118</f>
        <v>1214.9322135407683</v>
      </c>
      <c r="K112" s="314">
        <f t="shared" si="49"/>
        <v>2815.5908578115836</v>
      </c>
      <c r="L112" s="314">
        <f t="shared" si="49"/>
        <v>862.09067496781529</v>
      </c>
      <c r="M112" s="314">
        <f t="shared" si="49"/>
        <v>916.99588846717165</v>
      </c>
    </row>
    <row r="113" spans="2:13" ht="15" customHeight="1" x14ac:dyDescent="0.2">
      <c r="B113" s="171" t="s">
        <v>58</v>
      </c>
      <c r="D113" s="161"/>
      <c r="E113" s="312" t="s">
        <v>143</v>
      </c>
      <c r="F113" s="317">
        <f>+IFERROR(F112/F$13,0)</f>
        <v>0</v>
      </c>
      <c r="G113" s="317">
        <f t="shared" ref="G113" si="50">+IFERROR(G112/G$13,0)</f>
        <v>0</v>
      </c>
      <c r="H113" s="317">
        <f t="shared" ref="H113" si="51">+IFERROR(H112/H$13,0)</f>
        <v>0</v>
      </c>
      <c r="I113" s="317">
        <f t="shared" ref="I113" si="52">+IFERROR(I112/I$13,0)</f>
        <v>3.7643695594771022E-2</v>
      </c>
      <c r="J113" s="317">
        <f t="shared" ref="J113" si="53">+IFERROR(J112/J$13,0)</f>
        <v>3.3987340073087596E-2</v>
      </c>
      <c r="K113" s="317">
        <f t="shared" ref="K113" si="54">+IFERROR(K112/K$13,0)</f>
        <v>6.9044198591594233E-2</v>
      </c>
      <c r="L113" s="317">
        <f t="shared" ref="L113" si="55">+IFERROR(L112/L$13,0)</f>
        <v>0.02</v>
      </c>
      <c r="M113" s="317">
        <f t="shared" ref="M113" si="56">+IFERROR(M112/M$13,0)</f>
        <v>0.02</v>
      </c>
    </row>
    <row r="114" spans="2:13" ht="15" customHeight="1" x14ac:dyDescent="0.2">
      <c r="B114" s="171"/>
      <c r="D114" s="161"/>
      <c r="E114" s="312"/>
      <c r="F114" s="316"/>
      <c r="G114" s="317"/>
      <c r="H114" s="317"/>
      <c r="I114" s="317"/>
      <c r="J114" s="317"/>
      <c r="K114" s="317"/>
      <c r="L114" s="317"/>
      <c r="M114" s="317"/>
    </row>
    <row r="115" spans="2:13" ht="15" customHeight="1" x14ac:dyDescent="0.2">
      <c r="B115" s="167" t="s">
        <v>148</v>
      </c>
      <c r="D115" s="161"/>
      <c r="E115" s="312" t="s">
        <v>142</v>
      </c>
      <c r="F115" s="324">
        <v>0</v>
      </c>
      <c r="G115" s="324">
        <v>2.305909999999983</v>
      </c>
      <c r="H115" s="324">
        <v>82.41232999999994</v>
      </c>
      <c r="I115" s="316">
        <f>+I116*I13</f>
        <v>680.12962111840022</v>
      </c>
      <c r="J115" s="316">
        <f t="shared" ref="J115:M115" si="57">+J116*J13</f>
        <v>714.9322135407682</v>
      </c>
      <c r="K115" s="316">
        <f t="shared" si="57"/>
        <v>815.59085781158353</v>
      </c>
      <c r="L115" s="316">
        <f t="shared" si="57"/>
        <v>862.09067496781529</v>
      </c>
      <c r="M115" s="316">
        <f t="shared" si="57"/>
        <v>916.99588846717165</v>
      </c>
    </row>
    <row r="116" spans="2:13" ht="15" customHeight="1" x14ac:dyDescent="0.2">
      <c r="B116" s="171" t="s">
        <v>58</v>
      </c>
      <c r="D116" s="258">
        <v>0.02</v>
      </c>
      <c r="E116" s="312" t="s">
        <v>143</v>
      </c>
      <c r="F116" s="161"/>
      <c r="G116" s="161"/>
      <c r="H116" s="161"/>
      <c r="I116" s="317">
        <f>+$D$116</f>
        <v>0.02</v>
      </c>
      <c r="J116" s="317">
        <f t="shared" ref="J116:M116" si="58">+$D$116</f>
        <v>0.02</v>
      </c>
      <c r="K116" s="317">
        <f t="shared" si="58"/>
        <v>0.02</v>
      </c>
      <c r="L116" s="317">
        <f t="shared" si="58"/>
        <v>0.02</v>
      </c>
      <c r="M116" s="317">
        <f t="shared" si="58"/>
        <v>0.02</v>
      </c>
    </row>
    <row r="117" spans="2:13" ht="15" customHeight="1" x14ac:dyDescent="0.2">
      <c r="D117" s="161"/>
      <c r="E117" s="312"/>
      <c r="F117" s="161"/>
      <c r="G117" s="161"/>
      <c r="H117" s="161"/>
      <c r="I117" s="161"/>
      <c r="J117" s="161"/>
      <c r="K117" s="161"/>
      <c r="L117" s="161"/>
      <c r="M117" s="161"/>
    </row>
    <row r="118" spans="2:13" ht="15" customHeight="1" x14ac:dyDescent="0.2">
      <c r="B118" s="167" t="s">
        <v>149</v>
      </c>
      <c r="D118" s="161"/>
      <c r="E118" s="312" t="s">
        <v>142</v>
      </c>
      <c r="F118" s="324"/>
      <c r="G118" s="324"/>
      <c r="H118" s="324"/>
      <c r="I118" s="316">
        <f>+I121+I122+I123+I124</f>
        <v>600</v>
      </c>
      <c r="J118" s="316">
        <f t="shared" ref="J118:M118" si="59">+J121+J122+J123+J124</f>
        <v>500</v>
      </c>
      <c r="K118" s="316">
        <f t="shared" si="59"/>
        <v>2000</v>
      </c>
      <c r="L118" s="316">
        <f t="shared" si="59"/>
        <v>0</v>
      </c>
      <c r="M118" s="316">
        <f t="shared" si="59"/>
        <v>0</v>
      </c>
    </row>
    <row r="119" spans="2:13" ht="15" customHeight="1" x14ac:dyDescent="0.2">
      <c r="B119" s="171" t="s">
        <v>58</v>
      </c>
      <c r="D119" s="161"/>
      <c r="E119" s="312" t="s">
        <v>143</v>
      </c>
      <c r="F119" s="317">
        <f>+IFERROR(F118/F$13,0)</f>
        <v>0</v>
      </c>
      <c r="G119" s="317">
        <f t="shared" ref="G119:M119" si="60">+IFERROR(G118/G$13,0)</f>
        <v>0</v>
      </c>
      <c r="H119" s="317">
        <f t="shared" si="60"/>
        <v>0</v>
      </c>
      <c r="I119" s="317">
        <f t="shared" si="60"/>
        <v>1.7643695594771018E-2</v>
      </c>
      <c r="J119" s="317">
        <f t="shared" si="60"/>
        <v>1.3987340073087589E-2</v>
      </c>
      <c r="K119" s="317">
        <f t="shared" si="60"/>
        <v>4.9044198591594236E-2</v>
      </c>
      <c r="L119" s="317">
        <f t="shared" si="60"/>
        <v>0</v>
      </c>
      <c r="M119" s="317">
        <f t="shared" si="60"/>
        <v>0</v>
      </c>
    </row>
    <row r="120" spans="2:13" ht="15" customHeight="1" x14ac:dyDescent="0.2">
      <c r="D120" s="161"/>
      <c r="E120" s="312"/>
      <c r="F120" s="161"/>
      <c r="G120" s="161"/>
      <c r="H120" s="161"/>
      <c r="I120" s="161"/>
      <c r="J120" s="161"/>
      <c r="K120" s="161"/>
      <c r="L120" s="161"/>
      <c r="M120" s="161"/>
    </row>
    <row r="121" spans="2:13" ht="15" customHeight="1" x14ac:dyDescent="0.2">
      <c r="B121" s="167" t="s">
        <v>116</v>
      </c>
      <c r="D121" s="257">
        <v>100</v>
      </c>
      <c r="E121" s="312" t="s">
        <v>142</v>
      </c>
      <c r="F121" s="324"/>
      <c r="G121" s="324"/>
      <c r="H121" s="324"/>
      <c r="I121" s="316">
        <f>+D121</f>
        <v>100</v>
      </c>
      <c r="J121" s="324">
        <v>0</v>
      </c>
      <c r="K121" s="324">
        <v>0</v>
      </c>
      <c r="L121" s="324">
        <v>0</v>
      </c>
      <c r="M121" s="324">
        <v>0</v>
      </c>
    </row>
    <row r="122" spans="2:13" ht="15" customHeight="1" x14ac:dyDescent="0.2">
      <c r="B122" s="167" t="s">
        <v>41</v>
      </c>
      <c r="D122" s="257">
        <v>500</v>
      </c>
      <c r="E122" s="312" t="s">
        <v>142</v>
      </c>
      <c r="F122" s="324"/>
      <c r="G122" s="324"/>
      <c r="H122" s="324"/>
      <c r="I122" s="316">
        <f t="shared" ref="I122:M124" si="61">+IF(AND($C6=I$8,$D6="Yes"),$D122,0)</f>
        <v>500</v>
      </c>
      <c r="J122" s="316">
        <f t="shared" si="61"/>
        <v>0</v>
      </c>
      <c r="K122" s="316">
        <f t="shared" si="61"/>
        <v>0</v>
      </c>
      <c r="L122" s="316">
        <f t="shared" si="61"/>
        <v>0</v>
      </c>
      <c r="M122" s="316">
        <f t="shared" si="61"/>
        <v>0</v>
      </c>
    </row>
    <row r="123" spans="2:13" ht="15" customHeight="1" x14ac:dyDescent="0.2">
      <c r="B123" s="167" t="s">
        <v>122</v>
      </c>
      <c r="D123" s="257">
        <v>500</v>
      </c>
      <c r="E123" s="312" t="s">
        <v>142</v>
      </c>
      <c r="F123" s="324"/>
      <c r="G123" s="324"/>
      <c r="H123" s="324"/>
      <c r="I123" s="316">
        <f t="shared" si="61"/>
        <v>0</v>
      </c>
      <c r="J123" s="316">
        <f t="shared" si="61"/>
        <v>500</v>
      </c>
      <c r="K123" s="316">
        <f t="shared" si="61"/>
        <v>0</v>
      </c>
      <c r="L123" s="316">
        <f t="shared" si="61"/>
        <v>0</v>
      </c>
      <c r="M123" s="316">
        <f t="shared" si="61"/>
        <v>0</v>
      </c>
    </row>
    <row r="124" spans="2:13" ht="15" customHeight="1" x14ac:dyDescent="0.2">
      <c r="B124" s="167" t="s">
        <v>123</v>
      </c>
      <c r="D124" s="257">
        <v>2000</v>
      </c>
      <c r="E124" s="312" t="s">
        <v>142</v>
      </c>
      <c r="F124" s="324"/>
      <c r="G124" s="324"/>
      <c r="H124" s="324"/>
      <c r="I124" s="316">
        <f t="shared" si="61"/>
        <v>0</v>
      </c>
      <c r="J124" s="316">
        <f t="shared" si="61"/>
        <v>0</v>
      </c>
      <c r="K124" s="316">
        <f t="shared" si="61"/>
        <v>2000</v>
      </c>
      <c r="L124" s="316">
        <f t="shared" si="61"/>
        <v>0</v>
      </c>
      <c r="M124" s="316">
        <f t="shared" si="61"/>
        <v>0</v>
      </c>
    </row>
    <row r="125" spans="2:13" ht="15" customHeight="1" x14ac:dyDescent="0.2">
      <c r="D125" s="161"/>
      <c r="E125" s="312"/>
      <c r="F125" s="161"/>
      <c r="G125" s="161"/>
      <c r="H125" s="161"/>
      <c r="I125" s="161"/>
      <c r="J125" s="161"/>
      <c r="K125" s="161"/>
      <c r="L125" s="161"/>
      <c r="M125" s="161"/>
    </row>
    <row r="126" spans="2:13" ht="15" customHeight="1" x14ac:dyDescent="0.2">
      <c r="D126" s="161"/>
      <c r="E126" s="312"/>
      <c r="F126" s="161"/>
      <c r="G126" s="161"/>
      <c r="H126" s="161"/>
      <c r="I126" s="161"/>
      <c r="J126" s="161"/>
      <c r="K126" s="161"/>
      <c r="L126" s="161"/>
      <c r="M126" s="161"/>
    </row>
    <row r="127" spans="2:13" ht="15" customHeight="1" x14ac:dyDescent="0.2">
      <c r="D127" s="161"/>
      <c r="E127" s="312"/>
      <c r="F127" s="161"/>
      <c r="G127" s="161"/>
      <c r="H127" s="161"/>
      <c r="I127" s="161"/>
      <c r="J127" s="161"/>
      <c r="K127" s="161"/>
      <c r="L127" s="161"/>
      <c r="M127" s="161"/>
    </row>
    <row r="128" spans="2:13" ht="15" customHeight="1" x14ac:dyDescent="0.2">
      <c r="D128" s="161"/>
    </row>
    <row r="129" ht="15" customHeight="1" x14ac:dyDescent="0.2"/>
  </sheetData>
  <dataValidations count="2">
    <dataValidation type="list" allowBlank="1" showInputMessage="1" showErrorMessage="1" sqref="C6:C8" xr:uid="{CC8F9B7E-1719-4EF1-92AC-56DC52D9C9E1}">
      <formula1>$I$8:$M$8</formula1>
    </dataValidation>
    <dataValidation type="list" allowBlank="1" showInputMessage="1" showErrorMessage="1" sqref="D6:D8 E5" xr:uid="{C4B2F8BB-AC6A-47DA-9737-B61C9B580122}">
      <formula1>"Yes,No"</formula1>
    </dataValidation>
  </dataValidations>
  <pageMargins left="0.7" right="0.7" top="0.75" bottom="0.75" header="0.3" footer="0.3"/>
  <ignoredErrors>
    <ignoredError sqref="H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4865-1B06-49E2-BDD0-A4877CC95B51}">
  <dimension ref="A1:O256"/>
  <sheetViews>
    <sheetView showGridLines="0" zoomScaleNormal="100" workbookViewId="0">
      <pane xSplit="8" ySplit="8" topLeftCell="I11" activePane="bottomRight" state="frozen"/>
      <selection activeCell="D31" sqref="D31"/>
      <selection pane="topRight" activeCell="D31" sqref="D31"/>
      <selection pane="bottomLeft" activeCell="D31" sqref="D31"/>
      <selection pane="bottomRight" activeCell="I91" sqref="I91:M92"/>
    </sheetView>
  </sheetViews>
  <sheetFormatPr defaultColWidth="10.85546875" defaultRowHeight="12.75" x14ac:dyDescent="0.2"/>
  <cols>
    <col min="1" max="1" width="1.7109375" style="29" bestFit="1" customWidth="1"/>
    <col min="2" max="2" width="36.42578125" style="29" customWidth="1"/>
    <col min="3" max="3" width="3.140625" style="29" customWidth="1"/>
    <col min="4" max="4" width="4.28515625" style="29" customWidth="1"/>
    <col min="5" max="5" width="12.140625" style="346" customWidth="1"/>
    <col min="6" max="6" width="16.85546875" style="29" customWidth="1"/>
    <col min="7" max="8" width="15.85546875" style="29" customWidth="1"/>
    <col min="9" max="13" width="16" style="29" bestFit="1" customWidth="1"/>
    <col min="14" max="14" width="5" style="31" customWidth="1"/>
    <col min="15" max="15" width="10.85546875" style="29"/>
    <col min="16" max="16" width="12.42578125" style="29" bestFit="1" customWidth="1"/>
    <col min="17" max="17" width="11.42578125" style="29" bestFit="1" customWidth="1"/>
    <col min="18" max="16384" width="10.85546875" style="29"/>
  </cols>
  <sheetData>
    <row r="1" spans="1:15" x14ac:dyDescent="0.2">
      <c r="F1" s="245">
        <f t="shared" ref="F1:M1" si="0">+F69</f>
        <v>0</v>
      </c>
      <c r="G1" s="245">
        <f t="shared" si="0"/>
        <v>0</v>
      </c>
      <c r="H1" s="245">
        <f t="shared" si="0"/>
        <v>-0.15000000000873115</v>
      </c>
      <c r="I1" s="245">
        <f t="shared" ca="1" si="0"/>
        <v>-0.46173999999882653</v>
      </c>
      <c r="J1" s="245">
        <f t="shared" ca="1" si="0"/>
        <v>-0.46174000001337845</v>
      </c>
      <c r="K1" s="245">
        <f t="shared" ca="1" si="0"/>
        <v>-0.46173999999882653</v>
      </c>
      <c r="L1" s="245">
        <f t="shared" ca="1" si="0"/>
        <v>-0.46173999999882653</v>
      </c>
      <c r="M1" s="245">
        <f t="shared" ca="1" si="0"/>
        <v>-0.46174000001337845</v>
      </c>
      <c r="O1" s="32"/>
    </row>
    <row r="2" spans="1:15" s="33" customFormat="1" ht="15" customHeight="1" x14ac:dyDescent="0.2">
      <c r="B2" s="164" t="s">
        <v>209</v>
      </c>
      <c r="C2" s="164"/>
      <c r="D2" s="164"/>
      <c r="E2" s="189"/>
      <c r="F2" s="189"/>
      <c r="G2" s="164"/>
      <c r="H2" s="164"/>
      <c r="I2" s="165"/>
      <c r="J2" s="165"/>
      <c r="K2" s="165"/>
      <c r="L2" s="165"/>
      <c r="M2" s="165"/>
      <c r="O2" s="32"/>
    </row>
    <row r="3" spans="1:15" s="33" customFormat="1" ht="15" customHeight="1" x14ac:dyDescent="0.2">
      <c r="B3" s="164" t="s">
        <v>128</v>
      </c>
      <c r="C3" s="164"/>
      <c r="D3" s="164"/>
      <c r="E3" s="189"/>
      <c r="F3" s="189"/>
      <c r="G3" s="164"/>
      <c r="H3" s="164"/>
      <c r="I3" s="165"/>
      <c r="J3" s="165"/>
      <c r="K3" s="165"/>
      <c r="L3" s="165"/>
      <c r="M3" s="165"/>
      <c r="O3" s="32"/>
    </row>
    <row r="4" spans="1:15" s="33" customFormat="1" ht="15" customHeight="1" x14ac:dyDescent="0.2">
      <c r="B4" s="34"/>
      <c r="C4" s="35"/>
      <c r="D4" s="35"/>
      <c r="E4" s="350"/>
      <c r="F4" s="35"/>
      <c r="G4" s="35"/>
      <c r="H4" s="35"/>
      <c r="I4" s="35"/>
      <c r="J4" s="35"/>
      <c r="K4" s="35"/>
      <c r="L4" s="35"/>
      <c r="M4" s="35"/>
      <c r="O4" s="32"/>
    </row>
    <row r="5" spans="1:15" s="2" customFormat="1" ht="15" customHeight="1" x14ac:dyDescent="0.2">
      <c r="C5" s="34"/>
      <c r="D5" s="34"/>
      <c r="E5" s="351"/>
      <c r="F5" s="38" t="s">
        <v>42</v>
      </c>
      <c r="G5" s="38"/>
      <c r="H5" s="39"/>
      <c r="I5" s="38" t="s">
        <v>43</v>
      </c>
      <c r="J5" s="38"/>
      <c r="K5" s="38"/>
      <c r="L5" s="38"/>
      <c r="M5" s="39"/>
      <c r="O5" s="32"/>
    </row>
    <row r="6" spans="1:15" s="2" customFormat="1" ht="15" customHeight="1" x14ac:dyDescent="0.2">
      <c r="B6" s="41"/>
      <c r="E6" s="346"/>
      <c r="F6" s="403">
        <f>+Assumptions!F8</f>
        <v>44926</v>
      </c>
      <c r="G6" s="403">
        <f>+Assumptions!G8</f>
        <v>45291</v>
      </c>
      <c r="H6" s="403">
        <f>+Assumptions!H8</f>
        <v>45657</v>
      </c>
      <c r="I6" s="403">
        <f>+Assumptions!I8</f>
        <v>46022</v>
      </c>
      <c r="J6" s="403">
        <f>+Assumptions!J8</f>
        <v>46387</v>
      </c>
      <c r="K6" s="403">
        <f>+Assumptions!K8</f>
        <v>46752</v>
      </c>
      <c r="L6" s="403">
        <f>+Assumptions!L8</f>
        <v>47118</v>
      </c>
      <c r="M6" s="403">
        <f>+Assumptions!M8</f>
        <v>47483</v>
      </c>
      <c r="O6" s="32"/>
    </row>
    <row r="7" spans="1:15" s="2" customFormat="1" ht="15" customHeight="1" x14ac:dyDescent="0.2">
      <c r="B7" s="41"/>
      <c r="E7" s="346"/>
      <c r="F7" s="42" t="str">
        <f>"FY"&amp;YEAR(F6)&amp;"A"</f>
        <v>FY2022A</v>
      </c>
      <c r="G7" s="42" t="str">
        <f>"FY"&amp;YEAR(G6)&amp;"A"</f>
        <v>FY2023A</v>
      </c>
      <c r="H7" s="43" t="str">
        <f>"FY"&amp;YEAR(H6)&amp;"PF"</f>
        <v>FY2024PF</v>
      </c>
      <c r="I7" s="44" t="str">
        <f>"FY"&amp;YEAR(I6)&amp;"F"</f>
        <v>FY2025F</v>
      </c>
      <c r="J7" s="44" t="str">
        <f>"FY"&amp;YEAR(J6)&amp;"F"</f>
        <v>FY2026F</v>
      </c>
      <c r="K7" s="44" t="str">
        <f>"FY"&amp;YEAR(K6)&amp;"F"</f>
        <v>FY2027F</v>
      </c>
      <c r="L7" s="44" t="str">
        <f>"FY"&amp;YEAR(L6)&amp;"F"</f>
        <v>FY2028F</v>
      </c>
      <c r="M7" s="44" t="str">
        <f>"FY"&amp;YEAR(M6)&amp;"F"</f>
        <v>FY2029F</v>
      </c>
      <c r="O7" s="32"/>
    </row>
    <row r="8" spans="1:15" ht="15" customHeight="1" x14ac:dyDescent="0.2">
      <c r="B8" s="41"/>
      <c r="C8" s="2"/>
      <c r="D8" s="2"/>
      <c r="F8" s="2"/>
      <c r="G8" s="2"/>
      <c r="H8" s="2"/>
      <c r="I8" s="2"/>
      <c r="J8" s="2"/>
      <c r="K8" s="2"/>
      <c r="L8" s="2"/>
      <c r="M8" s="2"/>
      <c r="N8" s="29"/>
      <c r="O8" s="32"/>
    </row>
    <row r="9" spans="1:15" s="32" customFormat="1" ht="15" customHeight="1" x14ac:dyDescent="0.25">
      <c r="B9" s="13" t="s">
        <v>16</v>
      </c>
      <c r="C9" s="3" t="s">
        <v>52</v>
      </c>
      <c r="D9" s="3"/>
      <c r="E9" s="192"/>
      <c r="F9" s="206">
        <f>+F12-Assumptions!F13+Assumptions!F32-F18+SUM(F26:F28)-Assumptions!F52</f>
        <v>0</v>
      </c>
      <c r="G9" s="206">
        <f>+G12-Assumptions!G13+Assumptions!G32-G18+SUM(G26:G28)-Assumptions!G52</f>
        <v>0</v>
      </c>
      <c r="H9" s="206">
        <f>+H12-Assumptions!H13+Assumptions!H32-H18+SUM(H26:H28)-Assumptions!H52</f>
        <v>0</v>
      </c>
      <c r="I9" s="206">
        <f>+I12-Assumptions!I13+Assumptions!I32-I18+SUM(I26:I28)-Assumptions!I52</f>
        <v>0</v>
      </c>
      <c r="J9" s="206">
        <f>+J12-Assumptions!J13+Assumptions!J32-J18+SUM(J26:J28)-Assumptions!J52</f>
        <v>0</v>
      </c>
      <c r="K9" s="206">
        <f>+K12-Assumptions!K13+Assumptions!K32-K18+SUM(K26:K28)-Assumptions!K52</f>
        <v>0</v>
      </c>
      <c r="L9" s="206">
        <f>+L12-Assumptions!L13+Assumptions!L32-L18+SUM(L26:L28)-Assumptions!L52</f>
        <v>0</v>
      </c>
      <c r="M9" s="206">
        <f>+M12-Assumptions!M13+Assumptions!M32-M18+SUM(M26:M28)-Assumptions!M52</f>
        <v>0</v>
      </c>
    </row>
    <row r="10" spans="1:15" s="32" customFormat="1" ht="15" customHeight="1" x14ac:dyDescent="0.25">
      <c r="A10" s="139" t="s">
        <v>44</v>
      </c>
      <c r="B10" s="164" t="s">
        <v>112</v>
      </c>
      <c r="C10" s="164"/>
      <c r="D10" s="164"/>
      <c r="E10" s="189"/>
      <c r="F10" s="164"/>
      <c r="G10" s="164"/>
      <c r="H10" s="165"/>
      <c r="I10" s="165"/>
      <c r="J10" s="165"/>
      <c r="K10" s="165"/>
      <c r="L10" s="166"/>
      <c r="M10" s="47"/>
    </row>
    <row r="11" spans="1:15" s="139" customFormat="1" ht="15" customHeight="1" x14ac:dyDescent="0.25">
      <c r="E11" s="352"/>
    </row>
    <row r="12" spans="1:15" s="32" customFormat="1" ht="15" customHeight="1" x14ac:dyDescent="0.25">
      <c r="B12" s="48" t="s">
        <v>53</v>
      </c>
      <c r="C12" s="50"/>
      <c r="E12" s="192" t="s">
        <v>142</v>
      </c>
      <c r="F12" s="50">
        <f t="shared" ref="F12:M12" si="1">+SUM(F14:F17)</f>
        <v>30571.118161500002</v>
      </c>
      <c r="G12" s="50">
        <f t="shared" si="1"/>
        <v>30347.6740035</v>
      </c>
      <c r="H12" s="50">
        <f t="shared" si="1"/>
        <v>31378.902996000008</v>
      </c>
      <c r="I12" s="50">
        <f t="shared" si="1"/>
        <v>34006.481055920012</v>
      </c>
      <c r="J12" s="50">
        <f t="shared" si="1"/>
        <v>35746.610677038407</v>
      </c>
      <c r="K12" s="50">
        <f t="shared" si="1"/>
        <v>40779.542890579178</v>
      </c>
      <c r="L12" s="50">
        <f t="shared" si="1"/>
        <v>43104.533748390764</v>
      </c>
      <c r="M12" s="50">
        <f t="shared" si="1"/>
        <v>45849.79442335858</v>
      </c>
    </row>
    <row r="13" spans="1:15" s="32" customFormat="1" ht="15" customHeight="1" x14ac:dyDescent="0.25">
      <c r="B13" s="231" t="s">
        <v>46</v>
      </c>
      <c r="C13" s="64"/>
      <c r="D13" s="64"/>
      <c r="E13" s="192" t="s">
        <v>143</v>
      </c>
      <c r="F13" s="224"/>
      <c r="G13" s="225">
        <f t="shared" ref="G13:M13" si="2">+G12/F12-1</f>
        <v>-7.3089952686584692E-3</v>
      </c>
      <c r="H13" s="225">
        <f t="shared" si="2"/>
        <v>3.3980495255783838E-2</v>
      </c>
      <c r="I13" s="52">
        <f t="shared" si="2"/>
        <v>8.3737091135880348E-2</v>
      </c>
      <c r="J13" s="52">
        <f t="shared" si="2"/>
        <v>5.1170528884095345E-2</v>
      </c>
      <c r="K13" s="52">
        <f t="shared" si="2"/>
        <v>0.14079466887118453</v>
      </c>
      <c r="L13" s="52">
        <f t="shared" si="2"/>
        <v>5.7013656677076252E-2</v>
      </c>
      <c r="M13" s="52">
        <f t="shared" si="2"/>
        <v>6.3688443795550942E-2</v>
      </c>
    </row>
    <row r="14" spans="1:15" s="32" customFormat="1" ht="15" customHeight="1" x14ac:dyDescent="0.25">
      <c r="B14" s="226" t="s">
        <v>116</v>
      </c>
      <c r="C14" s="64"/>
      <c r="D14" s="64"/>
      <c r="E14" s="192" t="s">
        <v>142</v>
      </c>
      <c r="F14" s="229">
        <f>+Assumptions!F16</f>
        <v>30571.118161500002</v>
      </c>
      <c r="G14" s="229">
        <f>+Assumptions!G16</f>
        <v>30347.6740035</v>
      </c>
      <c r="H14" s="229">
        <f>+Assumptions!H16</f>
        <v>31378.902996000008</v>
      </c>
      <c r="I14" s="229">
        <f>+Assumptions!I16</f>
        <v>32006.481055920009</v>
      </c>
      <c r="J14" s="229">
        <f>+Assumptions!J16</f>
        <v>32646.61067703841</v>
      </c>
      <c r="K14" s="229">
        <f>+Assumptions!K16</f>
        <v>33299.542890579178</v>
      </c>
      <c r="L14" s="229">
        <f>+Assumptions!L16</f>
        <v>33965.533748390764</v>
      </c>
      <c r="M14" s="229">
        <f>+Assumptions!M16</f>
        <v>34644.844423358583</v>
      </c>
    </row>
    <row r="15" spans="1:15" s="32" customFormat="1" ht="15" customHeight="1" x14ac:dyDescent="0.25">
      <c r="B15" s="226" t="s">
        <v>214</v>
      </c>
      <c r="E15" s="192" t="s">
        <v>142</v>
      </c>
      <c r="F15" s="230">
        <f>+Assumptions!F19</f>
        <v>0</v>
      </c>
      <c r="G15" s="230">
        <f>+Assumptions!G19</f>
        <v>0</v>
      </c>
      <c r="H15" s="230">
        <f>+Assumptions!H19</f>
        <v>0</v>
      </c>
      <c r="I15" s="230">
        <f>+Assumptions!I19</f>
        <v>2000</v>
      </c>
      <c r="J15" s="230">
        <f>+Assumptions!J19</f>
        <v>2600</v>
      </c>
      <c r="K15" s="230">
        <f>+Assumptions!K19</f>
        <v>3380</v>
      </c>
      <c r="L15" s="230">
        <f>+Assumptions!L19</f>
        <v>4394</v>
      </c>
      <c r="M15" s="230">
        <f>+Assumptions!M19</f>
        <v>5712.2</v>
      </c>
    </row>
    <row r="16" spans="1:15" s="32" customFormat="1" ht="15" customHeight="1" x14ac:dyDescent="0.25">
      <c r="B16" s="226" t="s">
        <v>117</v>
      </c>
      <c r="E16" s="192" t="s">
        <v>142</v>
      </c>
      <c r="F16" s="230">
        <f>+Assumptions!F23</f>
        <v>0</v>
      </c>
      <c r="G16" s="230">
        <f>+Assumptions!G23</f>
        <v>0</v>
      </c>
      <c r="H16" s="230">
        <f>+Assumptions!H23</f>
        <v>0</v>
      </c>
      <c r="I16" s="230">
        <f>+Assumptions!I23</f>
        <v>0</v>
      </c>
      <c r="J16" s="230">
        <f>+Assumptions!J23</f>
        <v>500</v>
      </c>
      <c r="K16" s="230">
        <f>+Assumptions!K23</f>
        <v>600</v>
      </c>
      <c r="L16" s="230">
        <f>+Assumptions!L23</f>
        <v>720</v>
      </c>
      <c r="M16" s="230">
        <f>+Assumptions!M23</f>
        <v>864</v>
      </c>
    </row>
    <row r="17" spans="2:13" s="32" customFormat="1" ht="15" customHeight="1" x14ac:dyDescent="0.25">
      <c r="B17" s="232" t="s">
        <v>123</v>
      </c>
      <c r="C17" s="66"/>
      <c r="D17" s="66"/>
      <c r="E17" s="353" t="s">
        <v>142</v>
      </c>
      <c r="F17" s="233">
        <f>+Assumptions!F27</f>
        <v>0</v>
      </c>
      <c r="G17" s="233">
        <f>+Assumptions!G27</f>
        <v>0</v>
      </c>
      <c r="H17" s="233">
        <f>+Assumptions!H27</f>
        <v>0</v>
      </c>
      <c r="I17" s="233">
        <f>+Assumptions!I27</f>
        <v>0</v>
      </c>
      <c r="J17" s="233">
        <f>+Assumptions!J27</f>
        <v>0</v>
      </c>
      <c r="K17" s="233">
        <f>+Assumptions!K27</f>
        <v>3500</v>
      </c>
      <c r="L17" s="233">
        <f>+Assumptions!L27</f>
        <v>4024.9999999999995</v>
      </c>
      <c r="M17" s="233">
        <f>+Assumptions!M27</f>
        <v>4628.7499999999991</v>
      </c>
    </row>
    <row r="18" spans="2:13" s="32" customFormat="1" ht="15" customHeight="1" x14ac:dyDescent="0.25">
      <c r="B18" s="48" t="s">
        <v>54</v>
      </c>
      <c r="E18" s="192" t="s">
        <v>142</v>
      </c>
      <c r="F18" s="227">
        <f t="shared" ref="F18:M18" si="3">+F20+F21+F22+F23</f>
        <v>17512.269986099996</v>
      </c>
      <c r="G18" s="227">
        <f t="shared" si="3"/>
        <v>17843.689954620906</v>
      </c>
      <c r="H18" s="227">
        <f t="shared" si="3"/>
        <v>17937.420769775184</v>
      </c>
      <c r="I18" s="227">
        <f t="shared" si="3"/>
        <v>19388.15298253089</v>
      </c>
      <c r="J18" s="227">
        <f t="shared" si="3"/>
        <v>20312.859515488915</v>
      </c>
      <c r="K18" s="227">
        <f t="shared" si="3"/>
        <v>23210.507848572244</v>
      </c>
      <c r="L18" s="227">
        <f t="shared" si="3"/>
        <v>24463.505271172718</v>
      </c>
      <c r="M18" s="227">
        <f t="shared" si="3"/>
        <v>25953.620025537781</v>
      </c>
    </row>
    <row r="19" spans="2:13" s="32" customFormat="1" ht="15" customHeight="1" x14ac:dyDescent="0.25">
      <c r="B19" s="231" t="s">
        <v>46</v>
      </c>
      <c r="C19" s="64"/>
      <c r="D19" s="64"/>
      <c r="E19" s="192" t="s">
        <v>143</v>
      </c>
      <c r="F19" s="224"/>
      <c r="G19" s="225">
        <f t="shared" ref="G19:M19" si="4">+G18/F18-1</f>
        <v>1.892501479157005E-2</v>
      </c>
      <c r="H19" s="225">
        <f t="shared" si="4"/>
        <v>5.2528829739055816E-3</v>
      </c>
      <c r="I19" s="52">
        <f t="shared" si="4"/>
        <v>8.0877414393947245E-2</v>
      </c>
      <c r="J19" s="52">
        <f t="shared" si="4"/>
        <v>4.7694410797728182E-2</v>
      </c>
      <c r="K19" s="52">
        <f t="shared" si="4"/>
        <v>0.1426509315871467</v>
      </c>
      <c r="L19" s="52">
        <f t="shared" si="4"/>
        <v>5.3984058891565878E-2</v>
      </c>
      <c r="M19" s="52">
        <f t="shared" si="4"/>
        <v>6.0911743343705638E-2</v>
      </c>
    </row>
    <row r="20" spans="2:13" s="32" customFormat="1" ht="15" customHeight="1" x14ac:dyDescent="0.25">
      <c r="B20" s="226" t="s">
        <v>116</v>
      </c>
      <c r="E20" s="192" t="s">
        <v>142</v>
      </c>
      <c r="F20" s="230">
        <f>+Assumptions!F35</f>
        <v>17512.269986099996</v>
      </c>
      <c r="G20" s="230">
        <f>+Assumptions!G35</f>
        <v>17843.689954620906</v>
      </c>
      <c r="H20" s="230">
        <f>+Assumptions!H35</f>
        <v>17937.420769775184</v>
      </c>
      <c r="I20" s="230">
        <f>+Assumptions!I35</f>
        <v>18216.15298253089</v>
      </c>
      <c r="J20" s="230">
        <f>+Assumptions!J35</f>
        <v>18498.859515488915</v>
      </c>
      <c r="K20" s="230">
        <f>+Assumptions!K35</f>
        <v>18785.587848572246</v>
      </c>
      <c r="L20" s="230">
        <f>+Assumptions!L35</f>
        <v>19076.385771172718</v>
      </c>
      <c r="M20" s="230">
        <f>+Assumptions!M35</f>
        <v>19371.30137553778</v>
      </c>
    </row>
    <row r="21" spans="2:13" s="32" customFormat="1" ht="15" customHeight="1" x14ac:dyDescent="0.25">
      <c r="B21" s="226" t="s">
        <v>214</v>
      </c>
      <c r="E21" s="192" t="s">
        <v>142</v>
      </c>
      <c r="F21" s="230">
        <f>+Assumptions!F39</f>
        <v>0</v>
      </c>
      <c r="G21" s="230">
        <f>+Assumptions!G39</f>
        <v>0</v>
      </c>
      <c r="H21" s="230">
        <f>+Assumptions!H39</f>
        <v>0</v>
      </c>
      <c r="I21" s="230">
        <f>+Assumptions!I39</f>
        <v>1172</v>
      </c>
      <c r="J21" s="230">
        <f>+Assumptions!J39</f>
        <v>1521</v>
      </c>
      <c r="K21" s="230">
        <f>+Assumptions!K39</f>
        <v>1973.9199999999998</v>
      </c>
      <c r="L21" s="230">
        <f>+Assumptions!L39</f>
        <v>2561.7019999999998</v>
      </c>
      <c r="M21" s="230">
        <f>+Assumptions!M39</f>
        <v>3324.5003999999999</v>
      </c>
    </row>
    <row r="22" spans="2:13" s="32" customFormat="1" ht="15" customHeight="1" x14ac:dyDescent="0.25">
      <c r="B22" s="226" t="s">
        <v>117</v>
      </c>
      <c r="E22" s="192" t="s">
        <v>142</v>
      </c>
      <c r="F22" s="229">
        <f>+Assumptions!F43</f>
        <v>0</v>
      </c>
      <c r="G22" s="229">
        <f>+Assumptions!G43</f>
        <v>0</v>
      </c>
      <c r="H22" s="229">
        <f>+Assumptions!H43</f>
        <v>0</v>
      </c>
      <c r="I22" s="229">
        <f>+Assumptions!I43</f>
        <v>0</v>
      </c>
      <c r="J22" s="229">
        <f>+Assumptions!J43</f>
        <v>293</v>
      </c>
      <c r="K22" s="229">
        <f>+Assumptions!K43</f>
        <v>351</v>
      </c>
      <c r="L22" s="229">
        <f>+Assumptions!L43</f>
        <v>420.47999999999996</v>
      </c>
      <c r="M22" s="229">
        <f>+Assumptions!M43</f>
        <v>503.71199999999999</v>
      </c>
    </row>
    <row r="23" spans="2:13" s="32" customFormat="1" ht="15" customHeight="1" x14ac:dyDescent="0.25">
      <c r="B23" s="232" t="s">
        <v>123</v>
      </c>
      <c r="C23" s="66"/>
      <c r="D23" s="66"/>
      <c r="E23" s="353" t="s">
        <v>142</v>
      </c>
      <c r="F23" s="234">
        <f>+Assumptions!F47</f>
        <v>0</v>
      </c>
      <c r="G23" s="234">
        <f>+Assumptions!G47</f>
        <v>0</v>
      </c>
      <c r="H23" s="234">
        <f>+Assumptions!H47</f>
        <v>0</v>
      </c>
      <c r="I23" s="234">
        <f>+Assumptions!I47</f>
        <v>0</v>
      </c>
      <c r="J23" s="234">
        <f>+Assumptions!J47</f>
        <v>0</v>
      </c>
      <c r="K23" s="234">
        <f>+Assumptions!K47</f>
        <v>2100</v>
      </c>
      <c r="L23" s="234">
        <f>+Assumptions!L47</f>
        <v>2404.9375</v>
      </c>
      <c r="M23" s="234">
        <f>+Assumptions!M47</f>
        <v>2754.1062499999998</v>
      </c>
    </row>
    <row r="24" spans="2:13" s="32" customFormat="1" ht="15" customHeight="1" collapsed="1" x14ac:dyDescent="0.25">
      <c r="B24" s="48" t="s">
        <v>55</v>
      </c>
      <c r="C24" s="48"/>
      <c r="D24" s="48"/>
      <c r="E24" s="310" t="s">
        <v>142</v>
      </c>
      <c r="F24" s="227">
        <f t="shared" ref="F24:M24" si="5">+F12-F18</f>
        <v>13058.848175400006</v>
      </c>
      <c r="G24" s="227">
        <f t="shared" si="5"/>
        <v>12503.984048879094</v>
      </c>
      <c r="H24" s="227">
        <f t="shared" si="5"/>
        <v>13441.482226224824</v>
      </c>
      <c r="I24" s="227">
        <f t="shared" si="5"/>
        <v>14618.328073389122</v>
      </c>
      <c r="J24" s="227">
        <f t="shared" si="5"/>
        <v>15433.751161549491</v>
      </c>
      <c r="K24" s="227">
        <f t="shared" si="5"/>
        <v>17569.035042006934</v>
      </c>
      <c r="L24" s="227">
        <f t="shared" si="5"/>
        <v>18641.028477218046</v>
      </c>
      <c r="M24" s="227">
        <f t="shared" si="5"/>
        <v>19896.1743978208</v>
      </c>
    </row>
    <row r="25" spans="2:13" s="32" customFormat="1" ht="15" customHeight="1" x14ac:dyDescent="0.25">
      <c r="B25" s="53" t="s">
        <v>56</v>
      </c>
      <c r="C25" s="59"/>
      <c r="D25" s="59"/>
      <c r="E25" s="354" t="s">
        <v>143</v>
      </c>
      <c r="F25" s="60">
        <f t="shared" ref="F25:M25" si="6">+F24/F12</f>
        <v>0.42716292241628823</v>
      </c>
      <c r="G25" s="60">
        <f t="shared" si="6"/>
        <v>0.41202446182323588</v>
      </c>
      <c r="H25" s="60">
        <f t="shared" si="6"/>
        <v>0.42836048882710343</v>
      </c>
      <c r="I25" s="60">
        <f t="shared" si="6"/>
        <v>0.42986888438562193</v>
      </c>
      <c r="J25" s="60">
        <f t="shared" si="6"/>
        <v>0.43175425220000668</v>
      </c>
      <c r="K25" s="60">
        <f t="shared" si="6"/>
        <v>0.43082962183143308</v>
      </c>
      <c r="L25" s="60">
        <f t="shared" si="6"/>
        <v>0.43246097002299616</v>
      </c>
      <c r="M25" s="60">
        <f t="shared" si="6"/>
        <v>0.43394249959132902</v>
      </c>
    </row>
    <row r="26" spans="2:13" s="32" customFormat="1" ht="15" customHeight="1" x14ac:dyDescent="0.25">
      <c r="B26" s="228" t="s">
        <v>47</v>
      </c>
      <c r="C26" s="48"/>
      <c r="D26" s="54"/>
      <c r="E26" s="355" t="s">
        <v>142</v>
      </c>
      <c r="F26" s="230">
        <f>+Assumptions!F56</f>
        <v>3391.79</v>
      </c>
      <c r="G26" s="230">
        <f>+Assumptions!G56</f>
        <v>3308.76</v>
      </c>
      <c r="H26" s="230">
        <f>+Assumptions!H56</f>
        <v>3401.06</v>
      </c>
      <c r="I26" s="230">
        <f>+Assumptions!I56</f>
        <v>3721.1130000000003</v>
      </c>
      <c r="J26" s="230">
        <f>+Assumptions!J56</f>
        <v>4064.6686500000005</v>
      </c>
      <c r="K26" s="230">
        <f>+Assumptions!K56</f>
        <v>4783.6520825000007</v>
      </c>
      <c r="L26" s="230">
        <f>+Assumptions!L56</f>
        <v>5065.1596866250002</v>
      </c>
      <c r="M26" s="230">
        <f>+Assumptions!M56</f>
        <v>5364.9751709562506</v>
      </c>
    </row>
    <row r="27" spans="2:13" s="32" customFormat="1" ht="15" customHeight="1" x14ac:dyDescent="0.25">
      <c r="B27" s="228" t="s">
        <v>48</v>
      </c>
      <c r="C27" s="48"/>
      <c r="D27" s="54"/>
      <c r="E27" s="355" t="s">
        <v>142</v>
      </c>
      <c r="F27" s="230">
        <f>+Assumptions!F75</f>
        <v>528.73599999999999</v>
      </c>
      <c r="G27" s="230">
        <f>+Assumptions!G75</f>
        <v>575.82000000000005</v>
      </c>
      <c r="H27" s="230">
        <f>+Assumptions!H75</f>
        <v>589.96799999999996</v>
      </c>
      <c r="I27" s="230">
        <f>+Assumptions!I75</f>
        <v>801.76735999999994</v>
      </c>
      <c r="J27" s="230">
        <f>+Assumptions!J75</f>
        <v>817.80270719999999</v>
      </c>
      <c r="K27" s="230">
        <f>+Assumptions!K75</f>
        <v>1334.1587613440001</v>
      </c>
      <c r="L27" s="230">
        <f>+Assumptions!L75</f>
        <v>1360.8419365708801</v>
      </c>
      <c r="M27" s="230">
        <f>+Assumptions!M75</f>
        <v>1388.0587753022978</v>
      </c>
    </row>
    <row r="28" spans="2:13" s="32" customFormat="1" ht="15" customHeight="1" x14ac:dyDescent="0.25">
      <c r="B28" s="228" t="s">
        <v>129</v>
      </c>
      <c r="C28" s="48"/>
      <c r="D28" s="56"/>
      <c r="E28" s="355" t="s">
        <v>142</v>
      </c>
      <c r="F28" s="230">
        <f>+Assumptions!F90</f>
        <v>1053.1500000000001</v>
      </c>
      <c r="G28" s="230">
        <f>+Assumptions!G90</f>
        <v>1021.02</v>
      </c>
      <c r="H28" s="230">
        <f>+Assumptions!H90</f>
        <v>1132.2</v>
      </c>
      <c r="I28" s="230">
        <f>+Assumptions!I90</f>
        <v>1188.8100000000002</v>
      </c>
      <c r="J28" s="230">
        <f>+Assumptions!J90</f>
        <v>1248.2505000000003</v>
      </c>
      <c r="K28" s="230">
        <f>+Assumptions!K90</f>
        <v>1310.6630250000003</v>
      </c>
      <c r="L28" s="230">
        <f>+Assumptions!L90</f>
        <v>1376.1961762500005</v>
      </c>
      <c r="M28" s="230">
        <f>+Assumptions!M90</f>
        <v>1445.0059850625005</v>
      </c>
    </row>
    <row r="29" spans="2:13" s="32" customFormat="1" ht="15" customHeight="1" collapsed="1" x14ac:dyDescent="0.25">
      <c r="B29" s="62" t="s">
        <v>57</v>
      </c>
      <c r="C29" s="57"/>
      <c r="D29" s="11"/>
      <c r="E29" s="356" t="s">
        <v>142</v>
      </c>
      <c r="F29" s="11">
        <f t="shared" ref="F29:M29" si="7">+SUM(F26:F28)</f>
        <v>4973.6759999999995</v>
      </c>
      <c r="G29" s="11">
        <f t="shared" si="7"/>
        <v>4905.6000000000004</v>
      </c>
      <c r="H29" s="11">
        <f t="shared" si="7"/>
        <v>5123.2280000000001</v>
      </c>
      <c r="I29" s="11">
        <f t="shared" si="7"/>
        <v>5711.6903600000005</v>
      </c>
      <c r="J29" s="11">
        <f t="shared" si="7"/>
        <v>6130.7218572000002</v>
      </c>
      <c r="K29" s="11">
        <f t="shared" si="7"/>
        <v>7428.4738688440011</v>
      </c>
      <c r="L29" s="11">
        <f t="shared" si="7"/>
        <v>7802.1977994458803</v>
      </c>
      <c r="M29" s="11">
        <f t="shared" si="7"/>
        <v>8198.0399313210492</v>
      </c>
    </row>
    <row r="30" spans="2:13" s="32" customFormat="1" ht="15" customHeight="1" x14ac:dyDescent="0.25">
      <c r="B30" s="53" t="s">
        <v>58</v>
      </c>
      <c r="C30" s="59"/>
      <c r="D30" s="60"/>
      <c r="E30" s="367" t="s">
        <v>143</v>
      </c>
      <c r="F30" s="60">
        <f t="shared" ref="F30:M30" si="8">+F29/F12</f>
        <v>0.16269198835728688</v>
      </c>
      <c r="G30" s="60">
        <f t="shared" si="8"/>
        <v>0.1616466553395241</v>
      </c>
      <c r="H30" s="60">
        <f t="shared" si="8"/>
        <v>0.1632698249729469</v>
      </c>
      <c r="I30" s="60">
        <f t="shared" si="8"/>
        <v>0.16795887673904683</v>
      </c>
      <c r="J30" s="60">
        <f t="shared" si="8"/>
        <v>0.17150498302033507</v>
      </c>
      <c r="K30" s="60">
        <f t="shared" si="8"/>
        <v>0.18216177382802676</v>
      </c>
      <c r="L30" s="60">
        <f t="shared" si="8"/>
        <v>0.18100643066895863</v>
      </c>
      <c r="M30" s="60">
        <f t="shared" si="8"/>
        <v>0.17880210880824551</v>
      </c>
    </row>
    <row r="31" spans="2:13" s="32" customFormat="1" ht="15" customHeight="1" x14ac:dyDescent="0.25">
      <c r="B31" s="63" t="s">
        <v>105</v>
      </c>
      <c r="C31" s="63"/>
      <c r="D31" s="58"/>
      <c r="E31" s="357" t="s">
        <v>142</v>
      </c>
      <c r="F31" s="58">
        <f t="shared" ref="F31:M31" si="9">+F24-F29</f>
        <v>8085.1721754000064</v>
      </c>
      <c r="G31" s="58">
        <f t="shared" si="9"/>
        <v>7598.3840488790938</v>
      </c>
      <c r="H31" s="58">
        <f t="shared" si="9"/>
        <v>8318.2542262248244</v>
      </c>
      <c r="I31" s="58">
        <f t="shared" si="9"/>
        <v>8906.6377133891219</v>
      </c>
      <c r="J31" s="58">
        <f t="shared" si="9"/>
        <v>9303.0293043494912</v>
      </c>
      <c r="K31" s="58">
        <f t="shared" si="9"/>
        <v>10140.561173162932</v>
      </c>
      <c r="L31" s="58">
        <f t="shared" si="9"/>
        <v>10838.830677772166</v>
      </c>
      <c r="M31" s="58">
        <f t="shared" si="9"/>
        <v>11698.13446649975</v>
      </c>
    </row>
    <row r="32" spans="2:13" s="32" customFormat="1" ht="15" customHeight="1" x14ac:dyDescent="0.25">
      <c r="B32" s="64" t="s">
        <v>56</v>
      </c>
      <c r="C32" s="48"/>
      <c r="D32" s="65"/>
      <c r="E32" s="368" t="s">
        <v>143</v>
      </c>
      <c r="F32" s="65">
        <f t="shared" ref="F32:M32" si="10">F31/F12</f>
        <v>0.26447093405900135</v>
      </c>
      <c r="G32" s="65">
        <f t="shared" si="10"/>
        <v>0.25037780648371177</v>
      </c>
      <c r="H32" s="65">
        <f t="shared" si="10"/>
        <v>0.26509066385415658</v>
      </c>
      <c r="I32" s="65">
        <f t="shared" si="10"/>
        <v>0.26191000764657513</v>
      </c>
      <c r="J32" s="65">
        <f t="shared" si="10"/>
        <v>0.26024926917967162</v>
      </c>
      <c r="K32" s="65">
        <f t="shared" si="10"/>
        <v>0.24866784800340633</v>
      </c>
      <c r="L32" s="65">
        <f t="shared" si="10"/>
        <v>0.25145453935403755</v>
      </c>
      <c r="M32" s="65">
        <f t="shared" si="10"/>
        <v>0.25514039078308348</v>
      </c>
    </row>
    <row r="33" spans="1:13" s="32" customFormat="1" ht="15" customHeight="1" x14ac:dyDescent="0.25">
      <c r="B33" s="53" t="s">
        <v>46</v>
      </c>
      <c r="C33" s="59"/>
      <c r="D33" s="60"/>
      <c r="E33" s="367" t="s">
        <v>143</v>
      </c>
      <c r="F33" s="60"/>
      <c r="G33" s="60">
        <f t="shared" ref="G33:M33" si="11">G31/F31-1</f>
        <v>-6.0207515184650839E-2</v>
      </c>
      <c r="H33" s="60">
        <f t="shared" si="11"/>
        <v>9.4739904263186681E-2</v>
      </c>
      <c r="I33" s="60">
        <f t="shared" si="11"/>
        <v>7.0734011147352449E-2</v>
      </c>
      <c r="J33" s="60">
        <f t="shared" si="11"/>
        <v>4.4505188570147292E-2</v>
      </c>
      <c r="K33" s="60">
        <f t="shared" si="11"/>
        <v>9.0027865269849849E-2</v>
      </c>
      <c r="L33" s="60">
        <f t="shared" si="11"/>
        <v>6.8859059443101556E-2</v>
      </c>
      <c r="M33" s="60">
        <f t="shared" si="11"/>
        <v>7.9280119255835446E-2</v>
      </c>
    </row>
    <row r="34" spans="1:13" s="32" customFormat="1" ht="15" customHeight="1" x14ac:dyDescent="0.25">
      <c r="B34" s="46" t="s">
        <v>215</v>
      </c>
      <c r="C34" s="46"/>
      <c r="D34" s="56"/>
      <c r="E34" s="355" t="s">
        <v>142</v>
      </c>
      <c r="F34" s="230">
        <f>+Historicals!F15</f>
        <v>-295.68750999999997</v>
      </c>
      <c r="G34" s="230">
        <f>+Historicals!G15</f>
        <v>-355.51898</v>
      </c>
      <c r="H34" s="230">
        <f>+Historicals!H15</f>
        <v>-392.79817000000008</v>
      </c>
      <c r="I34" s="230">
        <f ca="1">-Debt!I28-Debt!I38-Debt!I48</f>
        <v>-1612.6431412139655</v>
      </c>
      <c r="J34" s="230">
        <f ca="1">-Debt!J28-Debt!J38-Debt!J48</f>
        <v>-1340.7385910610042</v>
      </c>
      <c r="K34" s="230">
        <f ca="1">-Debt!K28-Debt!K38-Debt!K48</f>
        <v>-1095.6545383283171</v>
      </c>
      <c r="L34" s="230">
        <f ca="1">-Debt!L28-Debt!L38-Debt!L48</f>
        <v>-808.97831283956759</v>
      </c>
      <c r="M34" s="230">
        <f ca="1">-Debt!M28-Debt!M38-Debt!M48</f>
        <v>-314.83591811189547</v>
      </c>
    </row>
    <row r="35" spans="1:13" s="32" customFormat="1" ht="15" customHeight="1" x14ac:dyDescent="0.25">
      <c r="B35" s="46" t="s">
        <v>131</v>
      </c>
      <c r="C35" s="48"/>
      <c r="D35" s="54"/>
      <c r="E35" s="355" t="s">
        <v>142</v>
      </c>
      <c r="F35" s="230">
        <f>+Historicals!F16</f>
        <v>-103.37571</v>
      </c>
      <c r="G35" s="230">
        <f>+Historicals!G16</f>
        <v>-82.412329999999997</v>
      </c>
      <c r="H35" s="230">
        <f>+Historicals!H16</f>
        <v>-82.412329999999997</v>
      </c>
      <c r="I35" s="230">
        <f>'PP&amp;E'!I15</f>
        <v>-231.91977663980003</v>
      </c>
      <c r="J35" s="230">
        <f>'PP&amp;E'!J15</f>
        <v>-383.78630333239607</v>
      </c>
      <c r="K35" s="230">
        <f>'PP&amp;E'!K15</f>
        <v>-735.73516055884397</v>
      </c>
      <c r="L35" s="230">
        <f>'PP&amp;E'!L15</f>
        <v>-843.49649492982098</v>
      </c>
      <c r="M35" s="230">
        <f>'PP&amp;E'!M15</f>
        <v>-886.21740698821736</v>
      </c>
    </row>
    <row r="36" spans="1:13" s="32" customFormat="1" ht="15" customHeight="1" x14ac:dyDescent="0.25">
      <c r="B36" s="46" t="s">
        <v>166</v>
      </c>
      <c r="D36" s="54"/>
      <c r="E36" s="355" t="s">
        <v>142</v>
      </c>
      <c r="F36" s="235"/>
      <c r="G36" s="235"/>
      <c r="H36" s="235"/>
      <c r="I36" s="230">
        <f>-$H$49/'Transaction Structure'!$E$14</f>
        <v>-356.49660969534955</v>
      </c>
      <c r="J36" s="230">
        <f>-$H$49/'Transaction Structure'!$E$14</f>
        <v>-356.49660969534955</v>
      </c>
      <c r="K36" s="230">
        <f>-$H$49/'Transaction Structure'!$E$14</f>
        <v>-356.49660969534955</v>
      </c>
      <c r="L36" s="230">
        <f>-$H$49/'Transaction Structure'!$E$14</f>
        <v>-356.49660969534955</v>
      </c>
      <c r="M36" s="230">
        <f>-$H$49/'Transaction Structure'!$E$14</f>
        <v>-356.49660969534955</v>
      </c>
    </row>
    <row r="37" spans="1:13" s="32" customFormat="1" ht="15" customHeight="1" x14ac:dyDescent="0.25">
      <c r="B37" s="63" t="s">
        <v>59</v>
      </c>
      <c r="C37" s="63"/>
      <c r="D37" s="58"/>
      <c r="E37" s="357" t="s">
        <v>142</v>
      </c>
      <c r="F37" s="58">
        <f t="shared" ref="F37:M37" si="12">+F31+SUM(F34:F36)</f>
        <v>7686.1089554000064</v>
      </c>
      <c r="G37" s="58">
        <f t="shared" si="12"/>
        <v>7160.4527388790939</v>
      </c>
      <c r="H37" s="58">
        <f t="shared" si="12"/>
        <v>7843.0437262248242</v>
      </c>
      <c r="I37" s="58">
        <f t="shared" ca="1" si="12"/>
        <v>6705.5781858400069</v>
      </c>
      <c r="J37" s="58">
        <f t="shared" ca="1" si="12"/>
        <v>7222.0078002607415</v>
      </c>
      <c r="K37" s="58">
        <f t="shared" ca="1" si="12"/>
        <v>7952.6748645804219</v>
      </c>
      <c r="L37" s="58">
        <f t="shared" ca="1" si="12"/>
        <v>8829.8592603074285</v>
      </c>
      <c r="M37" s="58">
        <f t="shared" ca="1" si="12"/>
        <v>10140.584531704288</v>
      </c>
    </row>
    <row r="38" spans="1:13" s="32" customFormat="1" ht="15" customHeight="1" x14ac:dyDescent="0.25">
      <c r="B38" s="32" t="s">
        <v>132</v>
      </c>
      <c r="D38" s="56"/>
      <c r="E38" s="355" t="s">
        <v>142</v>
      </c>
      <c r="F38" s="230">
        <f>+Historicals!F17</f>
        <v>-1224.3490199999999</v>
      </c>
      <c r="G38" s="230">
        <f>+Historicals!G17</f>
        <v>-1076.0666500000002</v>
      </c>
      <c r="H38" s="230">
        <f>+Historicals!H17</f>
        <v>-1076.0666500000002</v>
      </c>
      <c r="I38" s="230">
        <f ca="1">-I37*Assumptions!I99</f>
        <v>-2346.9523650440024</v>
      </c>
      <c r="J38" s="230">
        <f ca="1">-J37*Assumptions!J99</f>
        <v>-2527.7027300912596</v>
      </c>
      <c r="K38" s="230">
        <f ca="1">-K37*Assumptions!K99</f>
        <v>-2715.1805036593969</v>
      </c>
      <c r="L38" s="230">
        <f ca="1">-L37*Assumptions!L99</f>
        <v>-3007.9995916990665</v>
      </c>
      <c r="M38" s="230">
        <f ca="1">-M37*Assumptions!M99</f>
        <v>-3446.8306687399304</v>
      </c>
    </row>
    <row r="39" spans="1:13" s="32" customFormat="1" ht="15" customHeight="1" x14ac:dyDescent="0.25">
      <c r="B39" s="57" t="s">
        <v>30</v>
      </c>
      <c r="C39" s="49"/>
      <c r="D39" s="58"/>
      <c r="E39" s="357" t="s">
        <v>142</v>
      </c>
      <c r="F39" s="58">
        <f t="shared" ref="F39:M39" si="13">+SUM(F37:F38)</f>
        <v>6461.7599354000067</v>
      </c>
      <c r="G39" s="58">
        <f t="shared" si="13"/>
        <v>6084.3860888790932</v>
      </c>
      <c r="H39" s="58">
        <f t="shared" si="13"/>
        <v>6766.9770762248245</v>
      </c>
      <c r="I39" s="58">
        <f t="shared" ca="1" si="13"/>
        <v>4358.6258207960045</v>
      </c>
      <c r="J39" s="58">
        <f t="shared" ca="1" si="13"/>
        <v>4694.305070169482</v>
      </c>
      <c r="K39" s="58">
        <f t="shared" ca="1" si="13"/>
        <v>5237.494360921025</v>
      </c>
      <c r="L39" s="58">
        <f t="shared" ca="1" si="13"/>
        <v>5821.859668608362</v>
      </c>
      <c r="M39" s="58">
        <f t="shared" ca="1" si="13"/>
        <v>6693.7538629643568</v>
      </c>
    </row>
    <row r="40" spans="1:13" s="32" customFormat="1" ht="15" customHeight="1" x14ac:dyDescent="0.25">
      <c r="B40" s="53" t="s">
        <v>56</v>
      </c>
      <c r="C40" s="59"/>
      <c r="D40" s="60"/>
      <c r="E40" s="367" t="s">
        <v>143</v>
      </c>
      <c r="F40" s="60">
        <f>+F39/F12</f>
        <v>0.21136812534183586</v>
      </c>
      <c r="G40" s="60">
        <f t="shared" ref="G40:M40" si="14">+G39/G12</f>
        <v>0.2004893715471367</v>
      </c>
      <c r="H40" s="60">
        <f t="shared" si="14"/>
        <v>0.21565371731087724</v>
      </c>
      <c r="I40" s="60">
        <f t="shared" ca="1" si="14"/>
        <v>0.12817044532272279</v>
      </c>
      <c r="J40" s="60">
        <f t="shared" ca="1" si="14"/>
        <v>0.13132168284655968</v>
      </c>
      <c r="K40" s="60">
        <f t="shared" ca="1" si="14"/>
        <v>0.12843435677968285</v>
      </c>
      <c r="L40" s="60">
        <f t="shared" ca="1" si="14"/>
        <v>0.13506374300651638</v>
      </c>
      <c r="M40" s="60">
        <f t="shared" ca="1" si="14"/>
        <v>0.14599310525052572</v>
      </c>
    </row>
    <row r="41" spans="1:13" s="32" customFormat="1" ht="15" customHeight="1" x14ac:dyDescent="0.25">
      <c r="B41" s="13" t="s">
        <v>16</v>
      </c>
      <c r="E41" s="192"/>
      <c r="F41" s="67">
        <f>+F39-Historicals!F18</f>
        <v>0</v>
      </c>
      <c r="G41" s="67">
        <f>+G39-Historicals!G18</f>
        <v>0</v>
      </c>
      <c r="H41" s="67">
        <f>+H39-Historicals!H18</f>
        <v>0</v>
      </c>
      <c r="I41" s="61"/>
      <c r="J41" s="61"/>
      <c r="K41" s="61"/>
      <c r="L41" s="61"/>
      <c r="M41" s="61"/>
    </row>
    <row r="42" spans="1:13" s="32" customFormat="1" ht="15" customHeight="1" x14ac:dyDescent="0.25">
      <c r="B42" s="13"/>
      <c r="E42" s="192"/>
      <c r="F42" s="67"/>
      <c r="G42" s="67"/>
      <c r="H42" s="67"/>
      <c r="I42" s="61"/>
      <c r="J42" s="61"/>
      <c r="K42" s="61"/>
      <c r="L42" s="61"/>
      <c r="M42" s="61"/>
    </row>
    <row r="43" spans="1:13" s="32" customFormat="1" ht="15" customHeight="1" x14ac:dyDescent="0.2">
      <c r="A43" s="31"/>
      <c r="B43" s="68" t="s">
        <v>113</v>
      </c>
      <c r="C43" s="69"/>
      <c r="D43" s="69"/>
      <c r="E43" s="358"/>
      <c r="F43" s="70"/>
      <c r="G43" s="71"/>
      <c r="H43" s="71"/>
      <c r="I43" s="72"/>
      <c r="J43" s="72"/>
      <c r="K43" s="72"/>
      <c r="L43" s="72"/>
      <c r="M43" s="72"/>
    </row>
    <row r="44" spans="1:13" s="31" customFormat="1" ht="15" customHeight="1" x14ac:dyDescent="0.2">
      <c r="E44" s="359"/>
    </row>
    <row r="45" spans="1:13" s="32" customFormat="1" ht="15" customHeight="1" x14ac:dyDescent="0.25">
      <c r="B45" s="5" t="s">
        <v>18</v>
      </c>
      <c r="C45" s="48"/>
      <c r="D45" s="48"/>
      <c r="E45" s="310"/>
      <c r="F45" s="48"/>
      <c r="G45" s="48"/>
      <c r="H45" s="48"/>
      <c r="I45" s="48"/>
      <c r="J45" s="73"/>
      <c r="K45" s="73"/>
      <c r="L45" s="73"/>
      <c r="M45" s="73"/>
    </row>
    <row r="46" spans="1:13" s="32" customFormat="1" ht="15" customHeight="1" x14ac:dyDescent="0.25">
      <c r="B46" s="3" t="s">
        <v>60</v>
      </c>
      <c r="C46" s="3"/>
      <c r="D46" s="74"/>
      <c r="E46" s="360" t="s">
        <v>142</v>
      </c>
      <c r="F46" s="239">
        <f>Historicals!F22</f>
        <v>10047.110724</v>
      </c>
      <c r="G46" s="239">
        <f>Historicals!G22</f>
        <v>9285.4999260000041</v>
      </c>
      <c r="H46" s="240">
        <f>+'Transaction Structure'!J31</f>
        <v>1000</v>
      </c>
      <c r="I46" s="17">
        <f ca="1">+I96</f>
        <v>446.17692302749163</v>
      </c>
      <c r="J46" s="17">
        <f ca="1">+J96</f>
        <v>479.7393760414609</v>
      </c>
      <c r="K46" s="17">
        <f ca="1">+K96</f>
        <v>190.74361426297418</v>
      </c>
      <c r="L46" s="17">
        <f ca="1">+L96</f>
        <v>875.85530705158158</v>
      </c>
      <c r="M46" s="17">
        <f ca="1">+M96</f>
        <v>0</v>
      </c>
    </row>
    <row r="47" spans="1:13" s="32" customFormat="1" ht="15" customHeight="1" x14ac:dyDescent="0.25">
      <c r="B47" s="3" t="s">
        <v>61</v>
      </c>
      <c r="C47" s="3"/>
      <c r="D47" s="74"/>
      <c r="E47" s="360" t="s">
        <v>142</v>
      </c>
      <c r="F47" s="239">
        <f>Historicals!F23</f>
        <v>3351.7731939999999</v>
      </c>
      <c r="G47" s="239">
        <f>Historicals!G23</f>
        <v>3760.1383600000004</v>
      </c>
      <c r="H47" s="240">
        <f>+'Transaction Structure'!J32</f>
        <v>4001.8284570000014</v>
      </c>
      <c r="I47" s="239">
        <f>+NWC!I18</f>
        <v>4336.9299312139701</v>
      </c>
      <c r="J47" s="239">
        <f>+NWC!J18</f>
        <v>4558.852929527452</v>
      </c>
      <c r="K47" s="239">
        <f>+NWC!K18</f>
        <v>5200.7151181726995</v>
      </c>
      <c r="L47" s="239">
        <f>+NWC!L18</f>
        <v>5497.2269043954775</v>
      </c>
      <c r="M47" s="239">
        <f>+NWC!M18</f>
        <v>5847.3367311274596</v>
      </c>
    </row>
    <row r="48" spans="1:13" s="32" customFormat="1" ht="15" customHeight="1" x14ac:dyDescent="0.25">
      <c r="B48" s="3" t="s">
        <v>62</v>
      </c>
      <c r="C48" s="3"/>
      <c r="D48" s="74"/>
      <c r="E48" s="360" t="s">
        <v>142</v>
      </c>
      <c r="F48" s="239">
        <f>Historicals!F24</f>
        <v>2449.0399020000004</v>
      </c>
      <c r="G48" s="239">
        <f>Historicals!G24</f>
        <v>2842.0788510277057</v>
      </c>
      <c r="H48" s="240">
        <f>+'Transaction Structure'!J33</f>
        <v>2607.3523839470367</v>
      </c>
      <c r="I48" s="239">
        <f>+NWC!I20</f>
        <v>2818.2283031745678</v>
      </c>
      <c r="J48" s="239">
        <f>+NWC!J20</f>
        <v>2952.6420415879597</v>
      </c>
      <c r="K48" s="239">
        <f>+NWC!K20</f>
        <v>3373.8391794638565</v>
      </c>
      <c r="L48" s="239">
        <f>+NWC!L20</f>
        <v>3555.9727124187057</v>
      </c>
      <c r="M48" s="239">
        <f>+NWC!M20</f>
        <v>3772.5732096147744</v>
      </c>
    </row>
    <row r="49" spans="2:13" s="32" customFormat="1" ht="15" customHeight="1" x14ac:dyDescent="0.25">
      <c r="B49" s="3" t="s">
        <v>167</v>
      </c>
      <c r="C49" s="3"/>
      <c r="D49" s="75"/>
      <c r="E49" s="360" t="s">
        <v>142</v>
      </c>
      <c r="F49" s="239">
        <v>0</v>
      </c>
      <c r="G49" s="239">
        <v>0</v>
      </c>
      <c r="H49" s="239">
        <f>+'Transaction Structure'!J34</f>
        <v>2495.4762678674469</v>
      </c>
      <c r="I49" s="17">
        <f>+H49+I36</f>
        <v>2138.9796581720975</v>
      </c>
      <c r="J49" s="17">
        <f>+I49+J36</f>
        <v>1782.4830484767481</v>
      </c>
      <c r="K49" s="17">
        <f>+J49+K36</f>
        <v>1425.9864387813986</v>
      </c>
      <c r="L49" s="17">
        <f>+K49+L36</f>
        <v>1069.4898290860492</v>
      </c>
      <c r="M49" s="17">
        <f>+L49+M36</f>
        <v>712.99321939069966</v>
      </c>
    </row>
    <row r="50" spans="2:13" s="32" customFormat="1" ht="15" customHeight="1" x14ac:dyDescent="0.25">
      <c r="B50" s="10" t="s">
        <v>21</v>
      </c>
      <c r="C50" s="10"/>
      <c r="D50" s="76"/>
      <c r="E50" s="347" t="s">
        <v>142</v>
      </c>
      <c r="F50" s="76">
        <f t="shared" ref="F50:M50" si="15">+SUM(F46:F49)</f>
        <v>15847.92382</v>
      </c>
      <c r="G50" s="76">
        <f t="shared" si="15"/>
        <v>15887.71713702771</v>
      </c>
      <c r="H50" s="77">
        <f t="shared" si="15"/>
        <v>10104.657108814485</v>
      </c>
      <c r="I50" s="76">
        <f t="shared" ca="1" si="15"/>
        <v>9740.3148155881281</v>
      </c>
      <c r="J50" s="76">
        <f t="shared" ca="1" si="15"/>
        <v>9773.717395633621</v>
      </c>
      <c r="K50" s="76">
        <f t="shared" ca="1" si="15"/>
        <v>10191.284350680929</v>
      </c>
      <c r="L50" s="76">
        <f t="shared" ca="1" si="15"/>
        <v>10998.544752951815</v>
      </c>
      <c r="M50" s="76">
        <f t="shared" ca="1" si="15"/>
        <v>10332.903160132933</v>
      </c>
    </row>
    <row r="51" spans="2:13" s="32" customFormat="1" ht="15" customHeight="1" x14ac:dyDescent="0.25">
      <c r="B51" s="3" t="s">
        <v>63</v>
      </c>
      <c r="C51" s="3"/>
      <c r="D51" s="74"/>
      <c r="E51" s="360" t="s">
        <v>142</v>
      </c>
      <c r="F51" s="239">
        <f>Historicals!F26</f>
        <v>439.31254999999993</v>
      </c>
      <c r="G51" s="239">
        <f>Historicals!G26</f>
        <v>359.20612999999992</v>
      </c>
      <c r="H51" s="240">
        <f>+'Transaction Structure'!J36</f>
        <v>359.20612999999986</v>
      </c>
      <c r="I51" s="239">
        <f>+'PP&amp;E'!I16</f>
        <v>1407.7277144786003</v>
      </c>
      <c r="J51" s="239">
        <f>+'PP&amp;E'!J16</f>
        <v>2238.8736246869726</v>
      </c>
      <c r="K51" s="239">
        <f>+'PP&amp;E'!K16</f>
        <v>4318.7293219397125</v>
      </c>
      <c r="L51" s="239">
        <f>+'PP&amp;E'!L16</f>
        <v>4337.3235019777067</v>
      </c>
      <c r="M51" s="239">
        <f>+'PP&amp;E'!M16</f>
        <v>4368.1019834566605</v>
      </c>
    </row>
    <row r="52" spans="2:13" s="32" customFormat="1" ht="15" customHeight="1" x14ac:dyDescent="0.25">
      <c r="B52" s="3" t="s">
        <v>22</v>
      </c>
      <c r="C52" s="3"/>
      <c r="D52" s="75"/>
      <c r="E52" s="360" t="s">
        <v>142</v>
      </c>
      <c r="F52" s="75"/>
      <c r="G52" s="75"/>
      <c r="H52" s="240">
        <f>+'Transaction Structure'!J37</f>
        <v>63079.102078851545</v>
      </c>
      <c r="I52" s="17">
        <f>+H52</f>
        <v>63079.102078851545</v>
      </c>
      <c r="J52" s="17">
        <f>+I52</f>
        <v>63079.102078851545</v>
      </c>
      <c r="K52" s="17">
        <f>+J52</f>
        <v>63079.102078851545</v>
      </c>
      <c r="L52" s="17">
        <f>+K52</f>
        <v>63079.102078851545</v>
      </c>
      <c r="M52" s="17">
        <f>+L52</f>
        <v>63079.102078851545</v>
      </c>
    </row>
    <row r="53" spans="2:13" s="32" customFormat="1" ht="15" customHeight="1" x14ac:dyDescent="0.25">
      <c r="B53" s="12" t="s">
        <v>23</v>
      </c>
      <c r="C53" s="12"/>
      <c r="D53" s="219"/>
      <c r="E53" s="348" t="s">
        <v>142</v>
      </c>
      <c r="F53" s="219">
        <f t="shared" ref="F53:M53" si="16">+SUM(F50:F52)</f>
        <v>16287.236370000001</v>
      </c>
      <c r="G53" s="219">
        <f t="shared" si="16"/>
        <v>16246.923267027711</v>
      </c>
      <c r="H53" s="237">
        <f t="shared" si="16"/>
        <v>73542.965317666036</v>
      </c>
      <c r="I53" s="219">
        <f t="shared" ca="1" si="16"/>
        <v>74227.144608918272</v>
      </c>
      <c r="J53" s="219">
        <f t="shared" ca="1" si="16"/>
        <v>75091.693099172146</v>
      </c>
      <c r="K53" s="219">
        <f t="shared" ca="1" si="16"/>
        <v>77589.115751472185</v>
      </c>
      <c r="L53" s="219">
        <f t="shared" ca="1" si="16"/>
        <v>78414.970333781064</v>
      </c>
      <c r="M53" s="219">
        <f t="shared" ca="1" si="16"/>
        <v>77780.107222441147</v>
      </c>
    </row>
    <row r="54" spans="2:13" s="32" customFormat="1" ht="15" customHeight="1" x14ac:dyDescent="0.25">
      <c r="B54" s="5"/>
      <c r="C54" s="5"/>
      <c r="D54" s="80"/>
      <c r="E54" s="349"/>
      <c r="F54" s="80"/>
      <c r="G54" s="80"/>
      <c r="H54" s="236"/>
      <c r="I54" s="80"/>
      <c r="J54" s="80"/>
      <c r="K54" s="80"/>
      <c r="L54" s="80"/>
      <c r="M54" s="80"/>
    </row>
    <row r="55" spans="2:13" s="32" customFormat="1" ht="15" customHeight="1" x14ac:dyDescent="0.25">
      <c r="B55" s="5" t="s">
        <v>24</v>
      </c>
      <c r="C55" s="5"/>
      <c r="D55" s="78"/>
      <c r="E55" s="349"/>
      <c r="F55" s="78"/>
      <c r="G55" s="78"/>
      <c r="H55" s="79"/>
      <c r="I55" s="80"/>
      <c r="J55" s="80"/>
      <c r="K55" s="80"/>
      <c r="L55" s="80"/>
      <c r="M55" s="80"/>
    </row>
    <row r="56" spans="2:13" s="32" customFormat="1" ht="15" customHeight="1" x14ac:dyDescent="0.25">
      <c r="B56" s="3" t="s">
        <v>6</v>
      </c>
      <c r="C56" s="3"/>
      <c r="D56" s="75"/>
      <c r="E56" s="360" t="s">
        <v>142</v>
      </c>
      <c r="F56" s="75"/>
      <c r="G56" s="75"/>
      <c r="H56" s="239">
        <f>+'Transaction Structure'!J41</f>
        <v>0</v>
      </c>
      <c r="I56" s="239">
        <f ca="1">+Debt!I26</f>
        <v>0</v>
      </c>
      <c r="J56" s="239">
        <f ca="1">+Debt!J26</f>
        <v>0</v>
      </c>
      <c r="K56" s="239">
        <f ca="1">+Debt!K26</f>
        <v>0</v>
      </c>
      <c r="L56" s="239">
        <f ca="1">+Debt!L26</f>
        <v>0</v>
      </c>
      <c r="M56" s="239">
        <f ca="1">+Debt!M26</f>
        <v>1519.4131412038798</v>
      </c>
    </row>
    <row r="57" spans="2:13" s="32" customFormat="1" ht="15" customHeight="1" x14ac:dyDescent="0.25">
      <c r="B57" s="3" t="s">
        <v>25</v>
      </c>
      <c r="C57" s="3"/>
      <c r="D57" s="74"/>
      <c r="E57" s="360" t="s">
        <v>142</v>
      </c>
      <c r="F57" s="239">
        <f>Historicals!F30</f>
        <v>1271.9036999999998</v>
      </c>
      <c r="G57" s="239">
        <f>Historicals!G30</f>
        <v>1183.5356744000001</v>
      </c>
      <c r="H57" s="239">
        <f>+'Transaction Structure'!J42</f>
        <v>1800.8972469999999</v>
      </c>
      <c r="I57" s="239">
        <f>+NWC!I22</f>
        <v>1960.1460144061607</v>
      </c>
      <c r="J57" s="239">
        <f>+NWC!J22</f>
        <v>2065.0838304823728</v>
      </c>
      <c r="K57" s="239">
        <f>+NWC!K22</f>
        <v>2392.7192325177662</v>
      </c>
      <c r="L57" s="239">
        <f>+NWC!L22</f>
        <v>2519.756335240475</v>
      </c>
      <c r="M57" s="239">
        <f>+NWC!M22</f>
        <v>2667.0381657864691</v>
      </c>
    </row>
    <row r="58" spans="2:13" s="32" customFormat="1" ht="15" customHeight="1" x14ac:dyDescent="0.25">
      <c r="B58" s="3" t="s">
        <v>26</v>
      </c>
      <c r="C58" s="3"/>
      <c r="D58" s="74"/>
      <c r="E58" s="360" t="s">
        <v>142</v>
      </c>
      <c r="F58" s="239">
        <f>Historicals!F31</f>
        <v>3631.2250700000004</v>
      </c>
      <c r="G58" s="239">
        <f>Historicals!G31</f>
        <v>3911.0254156000001</v>
      </c>
      <c r="H58" s="239">
        <f>+'Transaction Structure'!J43</f>
        <v>1700.4079929999998</v>
      </c>
      <c r="I58" s="17">
        <f>+H58</f>
        <v>1700.4079929999998</v>
      </c>
      <c r="J58" s="17">
        <f>+I58</f>
        <v>1700.4079929999998</v>
      </c>
      <c r="K58" s="17">
        <f>+J58</f>
        <v>1700.4079929999998</v>
      </c>
      <c r="L58" s="17">
        <f>+K58</f>
        <v>1700.4079929999998</v>
      </c>
      <c r="M58" s="17">
        <f>+L58</f>
        <v>1700.4079929999998</v>
      </c>
    </row>
    <row r="59" spans="2:13" s="32" customFormat="1" ht="15" customHeight="1" x14ac:dyDescent="0.25">
      <c r="B59" s="10" t="s">
        <v>27</v>
      </c>
      <c r="C59" s="10"/>
      <c r="D59" s="76"/>
      <c r="E59" s="347" t="s">
        <v>142</v>
      </c>
      <c r="F59" s="76">
        <f t="shared" ref="F59:M59" si="17">+SUM(F56:F58)</f>
        <v>4903.1287700000003</v>
      </c>
      <c r="G59" s="76">
        <f t="shared" si="17"/>
        <v>5094.5610900000001</v>
      </c>
      <c r="H59" s="77">
        <f t="shared" si="17"/>
        <v>3501.3052399999997</v>
      </c>
      <c r="I59" s="76">
        <f t="shared" ca="1" si="17"/>
        <v>3660.5540074061605</v>
      </c>
      <c r="J59" s="76">
        <f t="shared" ca="1" si="17"/>
        <v>3765.4918234823726</v>
      </c>
      <c r="K59" s="76">
        <f t="shared" ca="1" si="17"/>
        <v>4093.127225517766</v>
      </c>
      <c r="L59" s="76">
        <f t="shared" ca="1" si="17"/>
        <v>4220.1643282404748</v>
      </c>
      <c r="M59" s="76">
        <f t="shared" ca="1" si="17"/>
        <v>5886.8592999903485</v>
      </c>
    </row>
    <row r="60" spans="2:13" s="32" customFormat="1" ht="15" customHeight="1" x14ac:dyDescent="0.25">
      <c r="B60" s="3" t="s">
        <v>161</v>
      </c>
      <c r="C60" s="3"/>
      <c r="D60" s="74"/>
      <c r="E60" s="360" t="s">
        <v>142</v>
      </c>
      <c r="F60" s="74">
        <f>Historicals!F33</f>
        <v>0</v>
      </c>
      <c r="G60" s="74">
        <f>Historicals!G33</f>
        <v>0</v>
      </c>
      <c r="H60" s="240">
        <f>+'Transaction Structure'!J45</f>
        <v>0</v>
      </c>
      <c r="I60" s="17">
        <f>+H60</f>
        <v>0</v>
      </c>
      <c r="J60" s="17">
        <f>+I60</f>
        <v>0</v>
      </c>
      <c r="K60" s="17">
        <f>+J60</f>
        <v>0</v>
      </c>
      <c r="L60" s="17">
        <f>+K60</f>
        <v>0</v>
      </c>
      <c r="M60" s="17">
        <f>+L60</f>
        <v>0</v>
      </c>
    </row>
    <row r="61" spans="2:13" s="32" customFormat="1" ht="15" customHeight="1" x14ac:dyDescent="0.25">
      <c r="B61" s="3" t="s">
        <v>7</v>
      </c>
      <c r="C61" s="3"/>
      <c r="D61" s="75"/>
      <c r="E61" s="360" t="s">
        <v>142</v>
      </c>
      <c r="F61" s="75"/>
      <c r="G61" s="75"/>
      <c r="H61" s="239">
        <f>+'Transaction Structure'!J46</f>
        <v>16636.508452449645</v>
      </c>
      <c r="I61" s="239">
        <f ca="1">+Debt!I36</f>
        <v>14080.503761149697</v>
      </c>
      <c r="J61" s="239">
        <f ca="1">+Debt!J36</f>
        <v>11457.374163821811</v>
      </c>
      <c r="K61" s="239">
        <f ca="1">+Debt!K36</f>
        <v>9412.2360900508975</v>
      </c>
      <c r="L61" s="239">
        <f ca="1">+Debt!L36</f>
        <v>5996.8746307027704</v>
      </c>
      <c r="M61" s="239">
        <f ca="1">+Debt!M36</f>
        <v>0</v>
      </c>
    </row>
    <row r="62" spans="2:13" s="32" customFormat="1" ht="15" customHeight="1" x14ac:dyDescent="0.25">
      <c r="B62" s="3" t="s">
        <v>8</v>
      </c>
      <c r="C62" s="3"/>
      <c r="D62" s="75"/>
      <c r="E62" s="360" t="s">
        <v>142</v>
      </c>
      <c r="F62" s="75"/>
      <c r="G62" s="75"/>
      <c r="H62" s="239">
        <f>+'Transaction Structure'!J47</f>
        <v>8318.2542262248226</v>
      </c>
      <c r="I62" s="239">
        <f ca="1">+Debt!I46</f>
        <v>7040.2518805748487</v>
      </c>
      <c r="J62" s="239">
        <f ca="1">+Debt!J46</f>
        <v>5728.6870819109054</v>
      </c>
      <c r="K62" s="239">
        <f ca="1">+Debt!K46</f>
        <v>4706.1180450254487</v>
      </c>
      <c r="L62" s="239">
        <f ca="1">+Debt!L46</f>
        <v>2998.4373153513852</v>
      </c>
      <c r="M62" s="239">
        <f ca="1">+Debt!M46</f>
        <v>0</v>
      </c>
    </row>
    <row r="63" spans="2:13" s="32" customFormat="1" ht="15" customHeight="1" x14ac:dyDescent="0.25">
      <c r="B63" s="10" t="s">
        <v>28</v>
      </c>
      <c r="C63" s="10"/>
      <c r="D63" s="76"/>
      <c r="E63" s="347" t="s">
        <v>142</v>
      </c>
      <c r="F63" s="76">
        <f t="shared" ref="F63:M63" si="18">+SUM(F59:F62)</f>
        <v>4903.1287700000003</v>
      </c>
      <c r="G63" s="76">
        <f t="shared" si="18"/>
        <v>5094.5610900000001</v>
      </c>
      <c r="H63" s="77">
        <f t="shared" si="18"/>
        <v>28456.067918674467</v>
      </c>
      <c r="I63" s="76">
        <f t="shared" ca="1" si="18"/>
        <v>24781.309649130704</v>
      </c>
      <c r="J63" s="76">
        <f t="shared" ca="1" si="18"/>
        <v>20951.55306921509</v>
      </c>
      <c r="K63" s="76">
        <f t="shared" ca="1" si="18"/>
        <v>18211.481360594113</v>
      </c>
      <c r="L63" s="76">
        <f t="shared" ca="1" si="18"/>
        <v>13215.47627429463</v>
      </c>
      <c r="M63" s="76">
        <f t="shared" ca="1" si="18"/>
        <v>5886.8592999903485</v>
      </c>
    </row>
    <row r="64" spans="2:13" s="32" customFormat="1" ht="15" customHeight="1" x14ac:dyDescent="0.25">
      <c r="B64" s="22" t="s">
        <v>29</v>
      </c>
      <c r="C64" s="22"/>
      <c r="D64" s="81"/>
      <c r="E64" s="361" t="s">
        <v>142</v>
      </c>
      <c r="F64" s="392">
        <f>Historicals!F36-F65</f>
        <v>3153.2127245999927</v>
      </c>
      <c r="G64" s="392">
        <f>Historicals!G36-G65</f>
        <v>3298.8411381486148</v>
      </c>
      <c r="H64" s="393">
        <f>+'Transaction Structure'!J49</f>
        <v>0</v>
      </c>
      <c r="I64" s="9">
        <f>+H64+H65+I92</f>
        <v>0</v>
      </c>
      <c r="J64" s="9">
        <f t="shared" ref="J64:M64" ca="1" si="19">+I64+I65+J92</f>
        <v>4358.6258207960045</v>
      </c>
      <c r="K64" s="9">
        <f t="shared" ca="1" si="19"/>
        <v>9052.9308909654865</v>
      </c>
      <c r="L64" s="9">
        <f t="shared" ca="1" si="19"/>
        <v>14290.425251886511</v>
      </c>
      <c r="M64" s="9">
        <f t="shared" ca="1" si="19"/>
        <v>20112.284920494872</v>
      </c>
    </row>
    <row r="65" spans="1:13" s="32" customFormat="1" ht="15" customHeight="1" x14ac:dyDescent="0.25">
      <c r="B65" s="3" t="s">
        <v>30</v>
      </c>
      <c r="C65" s="3"/>
      <c r="D65" s="75"/>
      <c r="E65" s="360" t="s">
        <v>142</v>
      </c>
      <c r="F65" s="17">
        <f>+F39</f>
        <v>6461.7599354000067</v>
      </c>
      <c r="G65" s="17">
        <f>+G39</f>
        <v>6084.3860888790932</v>
      </c>
      <c r="H65" s="17">
        <v>0</v>
      </c>
      <c r="I65" s="17">
        <f ca="1">+I39</f>
        <v>4358.6258207960045</v>
      </c>
      <c r="J65" s="17">
        <f ca="1">+J39</f>
        <v>4694.305070169482</v>
      </c>
      <c r="K65" s="17">
        <f ca="1">+K39</f>
        <v>5237.494360921025</v>
      </c>
      <c r="L65" s="17">
        <f ca="1">+L39</f>
        <v>5821.859668608362</v>
      </c>
      <c r="M65" s="17">
        <f ca="1">+M39</f>
        <v>6693.7538629643568</v>
      </c>
    </row>
    <row r="66" spans="1:13" s="32" customFormat="1" ht="15" customHeight="1" x14ac:dyDescent="0.25">
      <c r="B66" s="3" t="s">
        <v>31</v>
      </c>
      <c r="C66" s="3"/>
      <c r="D66" s="74"/>
      <c r="E66" s="360" t="s">
        <v>142</v>
      </c>
      <c r="F66" s="239">
        <f>Historicals!F35</f>
        <v>1769.1349399999999</v>
      </c>
      <c r="G66" s="239">
        <f>Historicals!G35</f>
        <v>1769.1349500000001</v>
      </c>
      <c r="H66" s="240">
        <f>+'Transaction Structure'!J51</f>
        <v>45086.74739899156</v>
      </c>
      <c r="I66" s="17">
        <f>+H66+I91</f>
        <v>45086.74739899156</v>
      </c>
      <c r="J66" s="17">
        <f t="shared" ref="J66:M66" si="20">+I66+J91</f>
        <v>45086.74739899156</v>
      </c>
      <c r="K66" s="17">
        <f t="shared" si="20"/>
        <v>45086.74739899156</v>
      </c>
      <c r="L66" s="17">
        <f t="shared" si="20"/>
        <v>45086.74739899156</v>
      </c>
      <c r="M66" s="17">
        <f t="shared" si="20"/>
        <v>45086.74739899156</v>
      </c>
    </row>
    <row r="67" spans="1:13" s="32" customFormat="1" ht="15" customHeight="1" x14ac:dyDescent="0.25">
      <c r="B67" s="10" t="s">
        <v>32</v>
      </c>
      <c r="C67" s="10"/>
      <c r="D67" s="76"/>
      <c r="E67" s="347" t="s">
        <v>142</v>
      </c>
      <c r="F67" s="76">
        <f t="shared" ref="F67:M67" si="21">+SUM(F64:F66)</f>
        <v>11384.107599999999</v>
      </c>
      <c r="G67" s="76">
        <f t="shared" si="21"/>
        <v>11152.362177027708</v>
      </c>
      <c r="H67" s="77">
        <f t="shared" si="21"/>
        <v>45086.74739899156</v>
      </c>
      <c r="I67" s="76">
        <f t="shared" ca="1" si="21"/>
        <v>49445.373219787565</v>
      </c>
      <c r="J67" s="76">
        <f t="shared" ca="1" si="21"/>
        <v>54139.678289957046</v>
      </c>
      <c r="K67" s="76">
        <f t="shared" ca="1" si="21"/>
        <v>59377.17265087807</v>
      </c>
      <c r="L67" s="76">
        <f t="shared" ca="1" si="21"/>
        <v>65199.032319486432</v>
      </c>
      <c r="M67" s="76">
        <f t="shared" ca="1" si="21"/>
        <v>71892.786182450785</v>
      </c>
    </row>
    <row r="68" spans="1:13" s="32" customFormat="1" ht="15" customHeight="1" x14ac:dyDescent="0.25">
      <c r="B68" s="12" t="s">
        <v>33</v>
      </c>
      <c r="C68" s="12"/>
      <c r="D68" s="238"/>
      <c r="E68" s="348" t="s">
        <v>142</v>
      </c>
      <c r="F68" s="241">
        <f t="shared" ref="F68:M68" si="22">F67+F63</f>
        <v>16287.236369999999</v>
      </c>
      <c r="G68" s="241">
        <f t="shared" si="22"/>
        <v>16246.923267027709</v>
      </c>
      <c r="H68" s="242">
        <f t="shared" si="22"/>
        <v>73542.815317666027</v>
      </c>
      <c r="I68" s="219">
        <f t="shared" ca="1" si="22"/>
        <v>74226.682868918273</v>
      </c>
      <c r="J68" s="219">
        <f t="shared" ca="1" si="22"/>
        <v>75091.231359172132</v>
      </c>
      <c r="K68" s="219">
        <f t="shared" ca="1" si="22"/>
        <v>77588.654011472187</v>
      </c>
      <c r="L68" s="219">
        <f t="shared" ca="1" si="22"/>
        <v>78414.508593781065</v>
      </c>
      <c r="M68" s="219">
        <f t="shared" ca="1" si="22"/>
        <v>77779.645482441134</v>
      </c>
    </row>
    <row r="69" spans="1:13" s="32" customFormat="1" ht="15" customHeight="1" x14ac:dyDescent="0.25">
      <c r="B69" s="13" t="s">
        <v>34</v>
      </c>
      <c r="C69" s="13"/>
      <c r="D69" s="13"/>
      <c r="E69" s="192"/>
      <c r="F69" s="244">
        <f t="shared" ref="F69:M69" si="23">F68-F53</f>
        <v>0</v>
      </c>
      <c r="G69" s="244">
        <f t="shared" si="23"/>
        <v>0</v>
      </c>
      <c r="H69" s="244">
        <f t="shared" si="23"/>
        <v>-0.15000000000873115</v>
      </c>
      <c r="I69" s="244">
        <f t="shared" ca="1" si="23"/>
        <v>-0.46173999999882653</v>
      </c>
      <c r="J69" s="244">
        <f t="shared" ca="1" si="23"/>
        <v>-0.46174000001337845</v>
      </c>
      <c r="K69" s="244">
        <f t="shared" ca="1" si="23"/>
        <v>-0.46173999999882653</v>
      </c>
      <c r="L69" s="244">
        <f t="shared" ca="1" si="23"/>
        <v>-0.46173999999882653</v>
      </c>
      <c r="M69" s="244">
        <f t="shared" ca="1" si="23"/>
        <v>-0.46174000001337845</v>
      </c>
    </row>
    <row r="70" spans="1:13" s="32" customFormat="1" ht="15" customHeight="1" x14ac:dyDescent="0.25">
      <c r="B70" s="13" t="s">
        <v>168</v>
      </c>
      <c r="E70" s="192"/>
      <c r="F70" s="82">
        <f>+F68-Historicals!F38</f>
        <v>0</v>
      </c>
      <c r="G70" s="82">
        <f>+G68-Historicals!G38</f>
        <v>0</v>
      </c>
      <c r="H70" s="82">
        <f>+H68-'Transaction Structure'!J53</f>
        <v>0</v>
      </c>
      <c r="I70" s="83"/>
      <c r="J70" s="83"/>
      <c r="K70" s="83"/>
      <c r="L70" s="83"/>
      <c r="M70" s="83"/>
    </row>
    <row r="71" spans="1:13" s="32" customFormat="1" ht="15" customHeight="1" x14ac:dyDescent="0.25">
      <c r="B71" s="13"/>
      <c r="E71" s="192"/>
      <c r="F71" s="82"/>
      <c r="G71" s="82"/>
      <c r="H71" s="82"/>
      <c r="I71" s="83"/>
      <c r="J71" s="83"/>
      <c r="K71" s="83"/>
      <c r="L71" s="83"/>
      <c r="M71" s="83"/>
    </row>
    <row r="72" spans="1:13" s="32" customFormat="1" ht="15" customHeight="1" x14ac:dyDescent="0.2">
      <c r="A72" s="31" t="s">
        <v>44</v>
      </c>
      <c r="B72" s="68" t="s">
        <v>169</v>
      </c>
      <c r="C72" s="84"/>
      <c r="D72" s="84"/>
      <c r="E72" s="362"/>
      <c r="F72" s="85"/>
      <c r="G72" s="85"/>
      <c r="H72" s="86"/>
      <c r="I72" s="72"/>
      <c r="J72" s="72"/>
      <c r="K72" s="72"/>
      <c r="L72" s="72"/>
      <c r="M72" s="72"/>
    </row>
    <row r="73" spans="1:13" s="31" customFormat="1" ht="15" customHeight="1" x14ac:dyDescent="0.2">
      <c r="E73" s="359"/>
    </row>
    <row r="74" spans="1:13" s="32" customFormat="1" ht="15" customHeight="1" x14ac:dyDescent="0.25">
      <c r="B74" s="5" t="s">
        <v>30</v>
      </c>
      <c r="E74" s="192" t="s">
        <v>142</v>
      </c>
      <c r="G74" s="45"/>
      <c r="H74" s="92"/>
      <c r="I74" s="87">
        <f ca="1">+I39</f>
        <v>4358.6258207960045</v>
      </c>
      <c r="J74" s="87">
        <f ca="1">+J39</f>
        <v>4694.305070169482</v>
      </c>
      <c r="K74" s="87">
        <f ca="1">+K39</f>
        <v>5237.494360921025</v>
      </c>
      <c r="L74" s="87">
        <f ca="1">+L39</f>
        <v>5821.859668608362</v>
      </c>
      <c r="M74" s="87">
        <f ca="1">+M39</f>
        <v>6693.7538629643568</v>
      </c>
    </row>
    <row r="75" spans="1:13" s="32" customFormat="1" ht="15" customHeight="1" x14ac:dyDescent="0.25">
      <c r="B75" s="3" t="s">
        <v>104</v>
      </c>
      <c r="E75" s="192" t="s">
        <v>142</v>
      </c>
      <c r="G75" s="45"/>
      <c r="H75" s="92"/>
      <c r="I75" s="249">
        <f>-'PP&amp;E'!I15</f>
        <v>231.91977663980003</v>
      </c>
      <c r="J75" s="249">
        <f>-'PP&amp;E'!J15</f>
        <v>383.78630333239607</v>
      </c>
      <c r="K75" s="249">
        <f>-'PP&amp;E'!K15</f>
        <v>735.73516055884397</v>
      </c>
      <c r="L75" s="249">
        <f>-'PP&amp;E'!L15</f>
        <v>843.49649492982098</v>
      </c>
      <c r="M75" s="249">
        <f>-'PP&amp;E'!M15</f>
        <v>886.21740698821736</v>
      </c>
    </row>
    <row r="76" spans="1:13" s="32" customFormat="1" ht="15" customHeight="1" x14ac:dyDescent="0.25">
      <c r="B76" s="3" t="s">
        <v>171</v>
      </c>
      <c r="E76" s="192" t="s">
        <v>142</v>
      </c>
      <c r="G76" s="45"/>
      <c r="H76" s="92"/>
      <c r="I76" s="87">
        <f>-I36</f>
        <v>356.49660969534955</v>
      </c>
      <c r="J76" s="87">
        <f t="shared" ref="J76:M76" si="24">-J36</f>
        <v>356.49660969534955</v>
      </c>
      <c r="K76" s="87">
        <f t="shared" si="24"/>
        <v>356.49660969534955</v>
      </c>
      <c r="L76" s="87">
        <f t="shared" si="24"/>
        <v>356.49660969534955</v>
      </c>
      <c r="M76" s="87">
        <f t="shared" si="24"/>
        <v>356.49660969534955</v>
      </c>
    </row>
    <row r="77" spans="1:13" s="32" customFormat="1" ht="15" customHeight="1" x14ac:dyDescent="0.25">
      <c r="B77" s="3" t="s">
        <v>64</v>
      </c>
      <c r="E77" s="192" t="s">
        <v>142</v>
      </c>
      <c r="G77" s="45"/>
      <c r="H77" s="92"/>
      <c r="I77" s="394">
        <f>NWC!I26</f>
        <v>-386.72862603534031</v>
      </c>
      <c r="J77" s="394">
        <f>NWC!J26</f>
        <v>-251.39892065066033</v>
      </c>
      <c r="K77" s="394">
        <f>NWC!K26</f>
        <v>-735.42392448575174</v>
      </c>
      <c r="L77" s="394">
        <f>NWC!L26</f>
        <v>-351.60821645491797</v>
      </c>
      <c r="M77" s="394">
        <f>NWC!M26</f>
        <v>-419.42849338205724</v>
      </c>
    </row>
    <row r="78" spans="1:13" s="32" customFormat="1" ht="15" customHeight="1" x14ac:dyDescent="0.25">
      <c r="B78" s="4" t="s">
        <v>65</v>
      </c>
      <c r="C78" s="66"/>
      <c r="D78" s="66"/>
      <c r="E78" s="353" t="s">
        <v>142</v>
      </c>
      <c r="F78" s="66"/>
      <c r="G78" s="88"/>
      <c r="H78" s="291"/>
      <c r="I78" s="395">
        <f>-'PP&amp;E'!I14</f>
        <v>-1280.1296211184003</v>
      </c>
      <c r="J78" s="395">
        <f>-'PP&amp;E'!J14</f>
        <v>-1214.9322135407683</v>
      </c>
      <c r="K78" s="395">
        <f>-'PP&amp;E'!K14</f>
        <v>-2815.5908578115836</v>
      </c>
      <c r="L78" s="395">
        <f>-'PP&amp;E'!L14</f>
        <v>-862.09067496781529</v>
      </c>
      <c r="M78" s="395">
        <f>-'PP&amp;E'!M14</f>
        <v>-916.99588846717165</v>
      </c>
    </row>
    <row r="79" spans="1:13" s="32" customFormat="1" ht="15" customHeight="1" x14ac:dyDescent="0.25">
      <c r="B79" s="5" t="s">
        <v>170</v>
      </c>
      <c r="E79" s="192" t="s">
        <v>142</v>
      </c>
      <c r="G79" s="45"/>
      <c r="H79" s="92"/>
      <c r="I79" s="89">
        <f ca="1">+SUM(I74:I78)</f>
        <v>3280.1839599774135</v>
      </c>
      <c r="J79" s="89">
        <f ca="1">+SUM(J74:J78)</f>
        <v>3968.2568490057993</v>
      </c>
      <c r="K79" s="89">
        <f ca="1">+SUM(K74:K78)</f>
        <v>2778.7113488778828</v>
      </c>
      <c r="L79" s="89">
        <f ca="1">+SUM(L74:L78)</f>
        <v>5808.1538818107992</v>
      </c>
      <c r="M79" s="89">
        <f ca="1">+SUM(M74:M78)</f>
        <v>6600.0434977986952</v>
      </c>
    </row>
    <row r="80" spans="1:13" s="32" customFormat="1" ht="15" customHeight="1" x14ac:dyDescent="0.25">
      <c r="B80" s="5"/>
      <c r="E80" s="192"/>
      <c r="G80" s="45"/>
      <c r="H80" s="92"/>
      <c r="I80" s="89"/>
      <c r="J80" s="89"/>
      <c r="K80" s="89"/>
      <c r="L80" s="89"/>
      <c r="M80" s="89"/>
    </row>
    <row r="81" spans="2:13" s="32" customFormat="1" ht="15" customHeight="1" x14ac:dyDescent="0.25">
      <c r="B81" s="3" t="s">
        <v>172</v>
      </c>
      <c r="E81" s="192" t="s">
        <v>142</v>
      </c>
      <c r="G81" s="45"/>
      <c r="H81" s="92"/>
      <c r="I81" s="394">
        <f>Debt!I32+Debt!I33+Debt!I34+Debt!I42+Debt!I43+Debt!I44</f>
        <v>-2495.4762678674469</v>
      </c>
      <c r="J81" s="394">
        <f ca="1">Debt!J32+Debt!J33+Debt!J34+Debt!J42+Debt!J43+Debt!J44</f>
        <v>-2495.4762678674469</v>
      </c>
      <c r="K81" s="394">
        <f ca="1">Debt!K32+Debt!K33+Debt!K34+Debt!K42+Debt!K43+Debt!K44</f>
        <v>-2495.4762678674469</v>
      </c>
      <c r="L81" s="394">
        <f ca="1">Debt!L32+Debt!L33+Debt!L34+Debt!L42+Debt!L43+Debt!L44</f>
        <v>-2495.4762678674469</v>
      </c>
      <c r="M81" s="394">
        <f ca="1">Debt!M32+Debt!M33+Debt!M34+Debt!M42+Debt!M43+Debt!M44</f>
        <v>-8995.3119460541566</v>
      </c>
    </row>
    <row r="82" spans="2:13" s="32" customFormat="1" ht="15" customHeight="1" x14ac:dyDescent="0.25">
      <c r="B82" s="10" t="s">
        <v>173</v>
      </c>
      <c r="C82" s="49"/>
      <c r="D82" s="49"/>
      <c r="E82" s="363" t="s">
        <v>142</v>
      </c>
      <c r="F82" s="49"/>
      <c r="G82" s="246"/>
      <c r="H82" s="288"/>
      <c r="I82" s="247">
        <f ca="1">+I81+I79</f>
        <v>784.7076921099665</v>
      </c>
      <c r="J82" s="247">
        <f ca="1">+J81+J79</f>
        <v>1472.7805811383523</v>
      </c>
      <c r="K82" s="247">
        <f ca="1">+K81+K79</f>
        <v>283.23508101043581</v>
      </c>
      <c r="L82" s="247">
        <f ca="1">+L81+L79</f>
        <v>3312.6776139433523</v>
      </c>
      <c r="M82" s="247">
        <f ca="1">+M81+M79</f>
        <v>-2395.2684482554614</v>
      </c>
    </row>
    <row r="83" spans="2:13" s="32" customFormat="1" ht="15" customHeight="1" x14ac:dyDescent="0.25">
      <c r="B83" s="5"/>
      <c r="E83" s="192"/>
      <c r="G83" s="45"/>
      <c r="H83" s="92"/>
      <c r="I83" s="89"/>
      <c r="J83" s="89"/>
      <c r="K83" s="89"/>
      <c r="L83" s="89"/>
      <c r="M83" s="89"/>
    </row>
    <row r="84" spans="2:13" s="32" customFormat="1" ht="15" customHeight="1" x14ac:dyDescent="0.25">
      <c r="B84" s="4" t="s">
        <v>187</v>
      </c>
      <c r="C84" s="66"/>
      <c r="D84" s="66"/>
      <c r="E84" s="353" t="s">
        <v>142</v>
      </c>
      <c r="F84" s="66"/>
      <c r="G84" s="88"/>
      <c r="H84" s="291"/>
      <c r="I84" s="395">
        <f ca="1">+Debt!I25</f>
        <v>0</v>
      </c>
      <c r="J84" s="395">
        <f ca="1">+Debt!J25</f>
        <v>0</v>
      </c>
      <c r="K84" s="395">
        <f ca="1">+Debt!K25</f>
        <v>0</v>
      </c>
      <c r="L84" s="395">
        <f ca="1">+Debt!L25</f>
        <v>0</v>
      </c>
      <c r="M84" s="395">
        <f ca="1">+Debt!M25</f>
        <v>1519.4131412038798</v>
      </c>
    </row>
    <row r="85" spans="2:13" s="32" customFormat="1" ht="15" customHeight="1" x14ac:dyDescent="0.25">
      <c r="B85" s="10" t="s">
        <v>174</v>
      </c>
      <c r="E85" s="192" t="s">
        <v>142</v>
      </c>
      <c r="G85" s="45"/>
      <c r="H85" s="92"/>
      <c r="I85" s="89">
        <f ca="1">+I82+I84</f>
        <v>784.7076921099665</v>
      </c>
      <c r="J85" s="89">
        <f ca="1">+J82+J84</f>
        <v>1472.7805811383523</v>
      </c>
      <c r="K85" s="89">
        <f ca="1">+K82+K84</f>
        <v>283.23508101043581</v>
      </c>
      <c r="L85" s="89">
        <f ca="1">+L82+L84</f>
        <v>3312.6776139433523</v>
      </c>
      <c r="M85" s="89">
        <f ca="1">+M82+M84</f>
        <v>-875.85530705158158</v>
      </c>
    </row>
    <row r="86" spans="2:13" s="32" customFormat="1" ht="15" customHeight="1" x14ac:dyDescent="0.25">
      <c r="B86" s="5"/>
      <c r="E86" s="192"/>
      <c r="G86" s="45"/>
      <c r="H86" s="92"/>
      <c r="I86" s="89"/>
      <c r="J86" s="89"/>
      <c r="K86" s="89"/>
      <c r="L86" s="89"/>
      <c r="M86" s="89"/>
    </row>
    <row r="87" spans="2:13" s="32" customFormat="1" ht="15" customHeight="1" x14ac:dyDescent="0.25">
      <c r="B87" s="3" t="s">
        <v>66</v>
      </c>
      <c r="E87" s="192" t="s">
        <v>142</v>
      </c>
      <c r="G87" s="45"/>
      <c r="H87" s="92"/>
      <c r="I87" s="396">
        <f ca="1">+Debt!I35</f>
        <v>-892.35384605498325</v>
      </c>
      <c r="J87" s="396">
        <f ca="1">+Debt!J35</f>
        <v>-959.47875208292203</v>
      </c>
      <c r="K87" s="396">
        <f ca="1">+Debt!K35</f>
        <v>-381.48722852594835</v>
      </c>
      <c r="L87" s="396">
        <f ca="1">+Debt!L35</f>
        <v>-1751.7106141031632</v>
      </c>
      <c r="M87" s="396">
        <f ca="1">+Debt!M35</f>
        <v>0</v>
      </c>
    </row>
    <row r="88" spans="2:13" s="32" customFormat="1" ht="15" customHeight="1" x14ac:dyDescent="0.25">
      <c r="B88" s="3" t="s">
        <v>175</v>
      </c>
      <c r="E88" s="192" t="s">
        <v>142</v>
      </c>
      <c r="G88" s="45"/>
      <c r="H88" s="92"/>
      <c r="I88" s="396">
        <f ca="1">+Debt!I45</f>
        <v>-446.17692302749163</v>
      </c>
      <c r="J88" s="396">
        <f ca="1">+Debt!J45</f>
        <v>-479.73937604146101</v>
      </c>
      <c r="K88" s="396">
        <f ca="1">+Debt!K45</f>
        <v>-190.74361426297418</v>
      </c>
      <c r="L88" s="396">
        <f ca="1">+Debt!L45</f>
        <v>-875.85530705158158</v>
      </c>
      <c r="M88" s="396">
        <f ca="1">+Debt!M45</f>
        <v>0</v>
      </c>
    </row>
    <row r="89" spans="2:13" s="32" customFormat="1" ht="15" customHeight="1" x14ac:dyDescent="0.25">
      <c r="B89" s="10" t="s">
        <v>67</v>
      </c>
      <c r="C89" s="49"/>
      <c r="D89" s="49"/>
      <c r="E89" s="363" t="s">
        <v>142</v>
      </c>
      <c r="F89" s="49"/>
      <c r="G89" s="246"/>
      <c r="H89" s="288"/>
      <c r="I89" s="247">
        <f ca="1">+I85+I88+I87</f>
        <v>-553.82307697250837</v>
      </c>
      <c r="J89" s="247">
        <f ca="1">+J85+J88+J87</f>
        <v>33.562453013969275</v>
      </c>
      <c r="K89" s="247">
        <f ca="1">+K85+K88+K87</f>
        <v>-288.99576177848672</v>
      </c>
      <c r="L89" s="247">
        <f ca="1">+L85+L88+L87</f>
        <v>685.11169278860734</v>
      </c>
      <c r="M89" s="247">
        <f ca="1">+M85+M88+M87</f>
        <v>-875.85530705158158</v>
      </c>
    </row>
    <row r="90" spans="2:13" s="32" customFormat="1" ht="15" customHeight="1" x14ac:dyDescent="0.25">
      <c r="B90" s="5"/>
      <c r="E90" s="192"/>
      <c r="G90" s="45"/>
      <c r="H90" s="92"/>
      <c r="I90" s="89"/>
      <c r="J90" s="89"/>
      <c r="K90" s="89"/>
      <c r="L90" s="89"/>
      <c r="M90" s="89"/>
    </row>
    <row r="91" spans="2:13" s="32" customFormat="1" ht="15" customHeight="1" x14ac:dyDescent="0.25">
      <c r="B91" s="3" t="s">
        <v>68</v>
      </c>
      <c r="E91" s="192" t="s">
        <v>142</v>
      </c>
      <c r="G91" s="45"/>
      <c r="H91" s="92"/>
      <c r="I91" s="90">
        <v>0</v>
      </c>
      <c r="J91" s="90">
        <v>0</v>
      </c>
      <c r="K91" s="90">
        <v>0</v>
      </c>
      <c r="L91" s="90">
        <v>0</v>
      </c>
      <c r="M91" s="90">
        <v>0</v>
      </c>
    </row>
    <row r="92" spans="2:13" s="32" customFormat="1" ht="15" customHeight="1" x14ac:dyDescent="0.25">
      <c r="B92" s="4" t="s">
        <v>69</v>
      </c>
      <c r="C92" s="66"/>
      <c r="D92" s="66"/>
      <c r="E92" s="353" t="s">
        <v>142</v>
      </c>
      <c r="F92" s="66"/>
      <c r="G92" s="88"/>
      <c r="H92" s="291"/>
      <c r="I92" s="290">
        <v>0</v>
      </c>
      <c r="J92" s="290">
        <v>0</v>
      </c>
      <c r="K92" s="290">
        <v>0</v>
      </c>
      <c r="L92" s="290">
        <v>0</v>
      </c>
      <c r="M92" s="290">
        <v>0</v>
      </c>
    </row>
    <row r="93" spans="2:13" s="32" customFormat="1" ht="15" customHeight="1" x14ac:dyDescent="0.25">
      <c r="B93" s="5" t="s">
        <v>176</v>
      </c>
      <c r="E93" s="192" t="s">
        <v>142</v>
      </c>
      <c r="G93" s="45"/>
      <c r="H93" s="92"/>
      <c r="I93" s="89">
        <f ca="1">+I91+I92+I89</f>
        <v>-553.82307697250837</v>
      </c>
      <c r="J93" s="89">
        <f t="shared" ref="J93:M93" ca="1" si="25">+J91+J92+J89</f>
        <v>33.562453013969275</v>
      </c>
      <c r="K93" s="89">
        <f t="shared" ca="1" si="25"/>
        <v>-288.99576177848672</v>
      </c>
      <c r="L93" s="89">
        <f t="shared" ca="1" si="25"/>
        <v>685.11169278860734</v>
      </c>
      <c r="M93" s="89">
        <f t="shared" ca="1" si="25"/>
        <v>-875.85530705158158</v>
      </c>
    </row>
    <row r="94" spans="2:13" s="32" customFormat="1" ht="15" customHeight="1" x14ac:dyDescent="0.25">
      <c r="B94" s="5"/>
      <c r="E94" s="192"/>
      <c r="G94" s="45"/>
      <c r="H94" s="92"/>
      <c r="I94" s="89"/>
      <c r="J94" s="89"/>
      <c r="K94" s="89"/>
      <c r="L94" s="89"/>
      <c r="M94" s="89"/>
    </row>
    <row r="95" spans="2:13" s="32" customFormat="1" ht="15" customHeight="1" x14ac:dyDescent="0.25">
      <c r="B95" s="4" t="s">
        <v>177</v>
      </c>
      <c r="C95" s="66"/>
      <c r="D95" s="66"/>
      <c r="E95" s="353" t="s">
        <v>142</v>
      </c>
      <c r="F95" s="66"/>
      <c r="G95" s="88"/>
      <c r="H95" s="291"/>
      <c r="I95" s="91">
        <f>+H96</f>
        <v>1000</v>
      </c>
      <c r="J95" s="91">
        <f ca="1">+I96</f>
        <v>446.17692302749163</v>
      </c>
      <c r="K95" s="91">
        <f ca="1">+J96</f>
        <v>479.7393760414609</v>
      </c>
      <c r="L95" s="91">
        <f ca="1">+K96</f>
        <v>190.74361426297418</v>
      </c>
      <c r="M95" s="91">
        <f ca="1">+L96</f>
        <v>875.85530705158158</v>
      </c>
    </row>
    <row r="96" spans="2:13" s="32" customFormat="1" ht="15" customHeight="1" x14ac:dyDescent="0.25">
      <c r="B96" s="12" t="s">
        <v>178</v>
      </c>
      <c r="C96" s="55"/>
      <c r="D96" s="55"/>
      <c r="E96" s="364" t="s">
        <v>142</v>
      </c>
      <c r="F96" s="55"/>
      <c r="G96" s="248"/>
      <c r="H96" s="292">
        <f>+H46</f>
        <v>1000</v>
      </c>
      <c r="I96" s="251">
        <f ca="1">+I93+I95</f>
        <v>446.17692302749163</v>
      </c>
      <c r="J96" s="251">
        <f ca="1">+J93+J95</f>
        <v>479.7393760414609</v>
      </c>
      <c r="K96" s="251">
        <f ca="1">+K93+K95</f>
        <v>190.74361426297418</v>
      </c>
      <c r="L96" s="251">
        <f ca="1">+L93+L95</f>
        <v>875.85530705158158</v>
      </c>
      <c r="M96" s="251">
        <f ca="1">+M93+M95</f>
        <v>0</v>
      </c>
    </row>
    <row r="97" spans="2:5" s="32" customFormat="1" ht="15" customHeight="1" x14ac:dyDescent="0.25">
      <c r="B97" s="5"/>
      <c r="E97" s="192"/>
    </row>
    <row r="98" spans="2:5" ht="15" customHeight="1" x14ac:dyDescent="0.2"/>
    <row r="99" spans="2:5" ht="15" customHeight="1" x14ac:dyDescent="0.2"/>
    <row r="100" spans="2:5" ht="15" customHeight="1" x14ac:dyDescent="0.2"/>
    <row r="101" spans="2:5" ht="15" customHeight="1" x14ac:dyDescent="0.2"/>
    <row r="102" spans="2:5" ht="15" customHeight="1" x14ac:dyDescent="0.2"/>
    <row r="103" spans="2:5" ht="15" customHeight="1" x14ac:dyDescent="0.2"/>
    <row r="104" spans="2:5" ht="15" customHeight="1" x14ac:dyDescent="0.2"/>
    <row r="105" spans="2:5" ht="15" customHeight="1" x14ac:dyDescent="0.2"/>
    <row r="106" spans="2:5" ht="15" customHeight="1" x14ac:dyDescent="0.2"/>
    <row r="107" spans="2:5" ht="15" customHeight="1" x14ac:dyDescent="0.2"/>
    <row r="108" spans="2:5" ht="15" customHeight="1" x14ac:dyDescent="0.2"/>
    <row r="109" spans="2:5" ht="15" customHeight="1" x14ac:dyDescent="0.2"/>
    <row r="110" spans="2:5" ht="15" customHeight="1" x14ac:dyDescent="0.2"/>
    <row r="111" spans="2:5" ht="15" customHeight="1" x14ac:dyDescent="0.2"/>
    <row r="112" spans="2:5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spans="5:14" ht="15" customHeight="1" x14ac:dyDescent="0.2"/>
    <row r="178" spans="5:14" ht="15" customHeight="1" x14ac:dyDescent="0.2"/>
    <row r="179" spans="5:14" ht="15" customHeight="1" x14ac:dyDescent="0.2"/>
    <row r="180" spans="5:14" ht="15" customHeight="1" x14ac:dyDescent="0.2"/>
    <row r="181" spans="5:14" ht="15" customHeight="1" x14ac:dyDescent="0.2"/>
    <row r="182" spans="5:14" ht="15" customHeight="1" x14ac:dyDescent="0.2"/>
    <row r="183" spans="5:14" ht="15" customHeight="1" x14ac:dyDescent="0.2"/>
    <row r="184" spans="5:14" ht="15" customHeight="1" x14ac:dyDescent="0.2"/>
    <row r="185" spans="5:14" ht="15" customHeight="1" x14ac:dyDescent="0.2"/>
    <row r="186" spans="5:14" ht="15" customHeight="1" x14ac:dyDescent="0.2"/>
    <row r="187" spans="5:14" ht="15" customHeight="1" x14ac:dyDescent="0.2"/>
    <row r="188" spans="5:14" s="32" customFormat="1" ht="15" customHeight="1" x14ac:dyDescent="0.25">
      <c r="E188" s="192"/>
      <c r="N188" s="139"/>
    </row>
    <row r="189" spans="5:14" ht="15" customHeight="1" x14ac:dyDescent="0.2"/>
    <row r="190" spans="5:14" ht="15" customHeight="1" x14ac:dyDescent="0.2"/>
    <row r="191" spans="5:14" ht="15" customHeight="1" x14ac:dyDescent="0.2"/>
    <row r="192" spans="5:14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244" spans="2:15" s="32" customFormat="1" ht="15" customHeight="1" x14ac:dyDescent="0.25">
      <c r="B244" s="5"/>
      <c r="E244" s="192"/>
      <c r="G244" s="45"/>
      <c r="H244" s="45"/>
      <c r="I244" s="87"/>
      <c r="J244" s="87"/>
      <c r="K244" s="87"/>
      <c r="L244" s="87"/>
      <c r="M244" s="87"/>
      <c r="O244" s="144"/>
    </row>
    <row r="248" spans="2:15" s="32" customFormat="1" ht="15" customHeight="1" x14ac:dyDescent="0.25">
      <c r="B248" s="5"/>
      <c r="E248" s="192"/>
      <c r="G248" s="45"/>
      <c r="H248" s="45"/>
      <c r="I248" s="89"/>
      <c r="J248" s="89"/>
      <c r="K248" s="89"/>
      <c r="L248" s="89"/>
      <c r="M248" s="89"/>
      <c r="O248" s="93"/>
    </row>
    <row r="249" spans="2:15" s="32" customFormat="1" ht="15" customHeight="1" x14ac:dyDescent="0.25">
      <c r="B249" s="5"/>
      <c r="E249" s="192"/>
      <c r="G249" s="45"/>
      <c r="H249" s="45"/>
      <c r="I249" s="89"/>
      <c r="J249" s="89"/>
      <c r="K249" s="89"/>
      <c r="L249" s="89"/>
      <c r="M249" s="89"/>
      <c r="O249" s="93"/>
    </row>
    <row r="250" spans="2:15" s="32" customFormat="1" ht="15" customHeight="1" x14ac:dyDescent="0.25">
      <c r="B250" s="5"/>
      <c r="E250" s="192"/>
      <c r="G250" s="45"/>
      <c r="H250" s="45"/>
      <c r="I250" s="89"/>
      <c r="J250" s="89"/>
      <c r="K250" s="89"/>
      <c r="L250" s="89"/>
      <c r="M250" s="89"/>
      <c r="O250" s="93"/>
    </row>
    <row r="252" spans="2:15" x14ac:dyDescent="0.2">
      <c r="B252" s="142"/>
    </row>
    <row r="254" spans="2:15" x14ac:dyDescent="0.2">
      <c r="B254" s="142"/>
    </row>
    <row r="255" spans="2:15" x14ac:dyDescent="0.2">
      <c r="C255" s="145"/>
      <c r="D255" s="145"/>
      <c r="E255" s="365"/>
    </row>
    <row r="256" spans="2:15" x14ac:dyDescent="0.2">
      <c r="C256" s="145"/>
      <c r="D256" s="145"/>
      <c r="E256" s="365"/>
    </row>
  </sheetData>
  <pageMargins left="0.7" right="0.7" top="0.75" bottom="0.75" header="0.3" footer="0.3"/>
  <pageSetup orientation="portrait" r:id="rId1"/>
  <ignoredErrors>
    <ignoredError sqref="I59:M60 I63:M63 I57:M5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4B7B-8149-4693-8D2B-8199EEDF13E7}">
  <dimension ref="A1:Q196"/>
  <sheetViews>
    <sheetView showGridLines="0" zoomScaleNormal="100" workbookViewId="0">
      <pane xSplit="8" ySplit="13" topLeftCell="I20" activePane="bottomRight" state="frozen"/>
      <selection activeCell="D31" sqref="D31"/>
      <selection pane="topRight" activeCell="D31" sqref="D31"/>
      <selection pane="bottomLeft" activeCell="D31" sqref="D31"/>
      <selection pane="bottomRight" activeCell="R21" sqref="R21"/>
    </sheetView>
  </sheetViews>
  <sheetFormatPr defaultColWidth="10.85546875" defaultRowHeight="12.75" outlineLevelCol="1" x14ac:dyDescent="0.2"/>
  <cols>
    <col min="1" max="1" width="1.7109375" style="29" bestFit="1" customWidth="1"/>
    <col min="2" max="2" width="36.42578125" style="29" customWidth="1"/>
    <col min="3" max="13" width="13.7109375" style="29" customWidth="1"/>
    <col min="14" max="14" width="3.42578125" style="29" customWidth="1"/>
    <col min="15" max="15" width="7.85546875" style="30" customWidth="1" outlineLevel="1"/>
    <col min="16" max="16" width="5" style="31" customWidth="1"/>
    <col min="17" max="17" width="10.85546875" style="29"/>
    <col min="18" max="18" width="12.42578125" style="29" bestFit="1" customWidth="1"/>
    <col min="19" max="19" width="11.42578125" style="29" bestFit="1" customWidth="1"/>
    <col min="20" max="16384" width="10.85546875" style="29"/>
  </cols>
  <sheetData>
    <row r="1" spans="2:17" x14ac:dyDescent="0.2">
      <c r="F1" s="245"/>
      <c r="G1" s="245"/>
      <c r="H1" s="245"/>
      <c r="I1" s="245"/>
      <c r="J1" s="245"/>
      <c r="K1" s="245"/>
      <c r="L1" s="245"/>
      <c r="M1" s="245"/>
      <c r="Q1" s="32"/>
    </row>
    <row r="2" spans="2:17" s="33" customFormat="1" ht="15" customHeight="1" x14ac:dyDescent="0.2">
      <c r="B2" s="164" t="s">
        <v>210</v>
      </c>
      <c r="C2" s="164"/>
      <c r="D2" s="164"/>
      <c r="E2" s="164"/>
      <c r="F2" s="189"/>
      <c r="G2" s="164"/>
      <c r="H2" s="164"/>
      <c r="I2" s="165"/>
      <c r="J2" s="165"/>
      <c r="K2" s="165"/>
      <c r="L2" s="165"/>
      <c r="M2" s="165"/>
      <c r="O2" s="36"/>
      <c r="Q2" s="32"/>
    </row>
    <row r="3" spans="2:17" s="33" customFormat="1" ht="15" customHeight="1" x14ac:dyDescent="0.2">
      <c r="B3" s="164" t="s">
        <v>128</v>
      </c>
      <c r="C3" s="164"/>
      <c r="D3" s="164"/>
      <c r="E3" s="164"/>
      <c r="F3" s="189"/>
      <c r="G3" s="164"/>
      <c r="H3" s="164"/>
      <c r="I3" s="165"/>
      <c r="J3" s="165"/>
      <c r="K3" s="165"/>
      <c r="L3" s="165"/>
      <c r="M3" s="165"/>
      <c r="O3" s="36"/>
      <c r="Q3" s="32"/>
    </row>
    <row r="4" spans="2:17" s="33" customFormat="1" ht="15" customHeight="1" x14ac:dyDescent="0.2">
      <c r="B4" s="274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O4" s="36"/>
      <c r="Q4" s="32"/>
    </row>
    <row r="5" spans="2:17" s="33" customFormat="1" ht="15" customHeight="1" x14ac:dyDescent="0.2">
      <c r="B5" s="283" t="s">
        <v>151</v>
      </c>
      <c r="C5" s="284" t="s">
        <v>189</v>
      </c>
      <c r="D5" s="284" t="s">
        <v>11</v>
      </c>
      <c r="E5" s="284" t="s">
        <v>190</v>
      </c>
      <c r="F5" s="284" t="s">
        <v>192</v>
      </c>
      <c r="G5" s="284" t="s">
        <v>191</v>
      </c>
      <c r="H5" s="284" t="s">
        <v>193</v>
      </c>
      <c r="I5" s="276"/>
      <c r="J5" s="275"/>
      <c r="K5" s="275"/>
      <c r="L5" s="275"/>
      <c r="M5" s="275"/>
      <c r="O5" s="36"/>
      <c r="Q5" s="32"/>
    </row>
    <row r="6" spans="2:17" s="33" customFormat="1" ht="15" customHeight="1" x14ac:dyDescent="0.2">
      <c r="B6" s="276" t="s">
        <v>7</v>
      </c>
      <c r="C6" s="277">
        <f>+'Transaction Structure'!E8</f>
        <v>2</v>
      </c>
      <c r="D6" s="278">
        <f>+'Transaction Structure'!I6</f>
        <v>16636.508452449645</v>
      </c>
      <c r="E6" s="279">
        <v>6.5000000000000002E-2</v>
      </c>
      <c r="F6" s="280">
        <v>5</v>
      </c>
      <c r="G6" s="280">
        <v>10</v>
      </c>
      <c r="H6" s="279">
        <v>0</v>
      </c>
      <c r="I6" s="276"/>
      <c r="J6" s="275"/>
      <c r="K6" s="275"/>
      <c r="L6" s="275"/>
      <c r="M6" s="275"/>
      <c r="O6" s="36"/>
      <c r="Q6" s="32"/>
    </row>
    <row r="7" spans="2:17" s="33" customFormat="1" ht="15" customHeight="1" x14ac:dyDescent="0.2">
      <c r="B7" s="276" t="s">
        <v>8</v>
      </c>
      <c r="C7" s="277">
        <f>+'Transaction Structure'!E9</f>
        <v>1</v>
      </c>
      <c r="D7" s="278">
        <f>+'Transaction Structure'!I7</f>
        <v>8318.2542262248226</v>
      </c>
      <c r="E7" s="279">
        <v>0.08</v>
      </c>
      <c r="F7" s="280">
        <v>5</v>
      </c>
      <c r="G7" s="280">
        <v>10</v>
      </c>
      <c r="H7" s="279">
        <v>0</v>
      </c>
      <c r="I7" s="276"/>
      <c r="J7" s="275"/>
      <c r="K7" s="275"/>
      <c r="L7" s="275"/>
      <c r="M7" s="275"/>
      <c r="O7" s="36"/>
      <c r="Q7" s="32"/>
    </row>
    <row r="8" spans="2:17" s="33" customFormat="1" ht="15" customHeight="1" x14ac:dyDescent="0.2">
      <c r="B8" s="274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O8" s="36"/>
      <c r="Q8" s="32"/>
    </row>
    <row r="9" spans="2:17" s="2" customFormat="1" ht="15" customHeight="1" x14ac:dyDescent="0.2">
      <c r="B9" s="3" t="s">
        <v>5</v>
      </c>
      <c r="C9" s="6">
        <v>0</v>
      </c>
      <c r="D9" s="34"/>
      <c r="E9" s="34"/>
      <c r="F9" s="38" t="s">
        <v>42</v>
      </c>
      <c r="G9" s="38"/>
      <c r="H9" s="39"/>
      <c r="I9" s="38" t="s">
        <v>43</v>
      </c>
      <c r="J9" s="38"/>
      <c r="K9" s="38"/>
      <c r="L9" s="38"/>
      <c r="M9" s="39"/>
      <c r="O9" s="40"/>
      <c r="Q9" s="32"/>
    </row>
    <row r="10" spans="2:17" s="2" customFormat="1" ht="15" customHeight="1" x14ac:dyDescent="0.2">
      <c r="C10" s="34"/>
      <c r="D10" s="34"/>
      <c r="E10" s="281" t="s">
        <v>194</v>
      </c>
      <c r="F10" s="38"/>
      <c r="G10" s="38"/>
      <c r="H10" s="39"/>
      <c r="I10" s="282">
        <v>1</v>
      </c>
      <c r="J10" s="282">
        <f>+I10+1</f>
        <v>2</v>
      </c>
      <c r="K10" s="282">
        <f t="shared" ref="K10:M10" si="0">+J10+1</f>
        <v>3</v>
      </c>
      <c r="L10" s="282">
        <f t="shared" si="0"/>
        <v>4</v>
      </c>
      <c r="M10" s="282">
        <f t="shared" si="0"/>
        <v>5</v>
      </c>
      <c r="O10" s="40"/>
      <c r="Q10" s="32"/>
    </row>
    <row r="11" spans="2:17" s="2" customFormat="1" ht="15" customHeight="1" x14ac:dyDescent="0.2">
      <c r="B11" s="41"/>
      <c r="F11" s="403">
        <f>+Assumptions!F8</f>
        <v>44926</v>
      </c>
      <c r="G11" s="403">
        <f>+Assumptions!G8</f>
        <v>45291</v>
      </c>
      <c r="H11" s="403">
        <f>+Assumptions!H8</f>
        <v>45657</v>
      </c>
      <c r="I11" s="403">
        <f>+Assumptions!I8</f>
        <v>46022</v>
      </c>
      <c r="J11" s="403">
        <f>+Assumptions!J8</f>
        <v>46387</v>
      </c>
      <c r="K11" s="403">
        <f>+Assumptions!K8</f>
        <v>46752</v>
      </c>
      <c r="L11" s="403">
        <f>+Assumptions!L8</f>
        <v>47118</v>
      </c>
      <c r="M11" s="403">
        <f>+Assumptions!M8</f>
        <v>47483</v>
      </c>
      <c r="O11" s="40"/>
      <c r="Q11" s="32"/>
    </row>
    <row r="12" spans="2:17" s="2" customFormat="1" ht="15" customHeight="1" x14ac:dyDescent="0.2">
      <c r="B12" s="41"/>
      <c r="F12" s="42" t="str">
        <f>"FY"&amp;YEAR(F11)&amp;"A"</f>
        <v>FY2022A</v>
      </c>
      <c r="G12" s="42" t="str">
        <f>"FY"&amp;YEAR(G11)&amp;"A"</f>
        <v>FY2023A</v>
      </c>
      <c r="H12" s="43" t="str">
        <f>"FY"&amp;YEAR(H11)&amp;"PF"</f>
        <v>FY2024PF</v>
      </c>
      <c r="I12" s="44" t="str">
        <f>"FY"&amp;YEAR(I11)&amp;"F"</f>
        <v>FY2025F</v>
      </c>
      <c r="J12" s="44" t="str">
        <f>"FY"&amp;YEAR(J11)&amp;"F"</f>
        <v>FY2026F</v>
      </c>
      <c r="K12" s="44" t="str">
        <f>"FY"&amp;YEAR(K11)&amp;"F"</f>
        <v>FY2027F</v>
      </c>
      <c r="L12" s="44" t="str">
        <f>"FY"&amp;YEAR(L11)&amp;"F"</f>
        <v>FY2028F</v>
      </c>
      <c r="M12" s="44" t="str">
        <f>"FY"&amp;YEAR(M11)&amp;"F"</f>
        <v>FY2029F</v>
      </c>
      <c r="O12" s="40"/>
      <c r="Q12" s="32"/>
    </row>
    <row r="13" spans="2:17" ht="15" customHeight="1" x14ac:dyDescent="0.2">
      <c r="B13" s="4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P13" s="29"/>
      <c r="Q13" s="32"/>
    </row>
    <row r="14" spans="2:17" ht="15" customHeight="1" x14ac:dyDescent="0.2"/>
    <row r="15" spans="2:17" ht="15" customHeight="1" x14ac:dyDescent="0.2">
      <c r="B15" s="19" t="s">
        <v>119</v>
      </c>
      <c r="C15" s="19"/>
      <c r="D15" s="19"/>
      <c r="E15" s="19"/>
      <c r="F15" s="71"/>
      <c r="G15" s="71"/>
      <c r="H15" s="263"/>
      <c r="I15" s="72"/>
      <c r="J15" s="72"/>
      <c r="K15" s="72"/>
      <c r="L15" s="72"/>
      <c r="M15" s="72"/>
    </row>
    <row r="16" spans="2:17" ht="15" customHeight="1" x14ac:dyDescent="0.2">
      <c r="O16" s="29"/>
      <c r="P16" s="29"/>
    </row>
    <row r="17" spans="2:16" ht="15" customHeight="1" x14ac:dyDescent="0.2">
      <c r="B17" s="59" t="s">
        <v>195</v>
      </c>
      <c r="C17" s="66"/>
      <c r="D17" s="66"/>
      <c r="E17" s="353"/>
      <c r="F17" s="66"/>
      <c r="G17" s="66"/>
      <c r="H17" s="264"/>
      <c r="I17" s="66"/>
      <c r="J17" s="66"/>
      <c r="K17" s="66"/>
      <c r="L17" s="66"/>
      <c r="M17" s="66"/>
    </row>
    <row r="18" spans="2:16" ht="15" customHeight="1" x14ac:dyDescent="0.2">
      <c r="B18" s="32" t="s">
        <v>92</v>
      </c>
      <c r="E18" s="346" t="s">
        <v>142</v>
      </c>
      <c r="I18" s="239">
        <f>+'Financial Statements'!I95</f>
        <v>1000</v>
      </c>
      <c r="J18" s="239">
        <f ca="1">+'Financial Statements'!J95</f>
        <v>446.17692302749163</v>
      </c>
      <c r="K18" s="239">
        <f ca="1">+'Financial Statements'!K95</f>
        <v>479.7393760414609</v>
      </c>
      <c r="L18" s="239">
        <f ca="1">+'Financial Statements'!L95</f>
        <v>190.74361426297418</v>
      </c>
      <c r="M18" s="239">
        <f ca="1">+'Financial Statements'!M95</f>
        <v>875.85530705158158</v>
      </c>
      <c r="O18" s="29"/>
      <c r="P18" s="29"/>
    </row>
    <row r="19" spans="2:16" ht="15" customHeight="1" x14ac:dyDescent="0.2">
      <c r="B19" s="32" t="s">
        <v>185</v>
      </c>
      <c r="E19" s="346" t="s">
        <v>142</v>
      </c>
      <c r="I19" s="239">
        <f ca="1">+'Financial Statements'!I82</f>
        <v>784.7076921099665</v>
      </c>
      <c r="J19" s="239">
        <f ca="1">+'Financial Statements'!J82</f>
        <v>1472.7805811383523</v>
      </c>
      <c r="K19" s="239">
        <f ca="1">+'Financial Statements'!K82</f>
        <v>283.23508101043581</v>
      </c>
      <c r="L19" s="239">
        <f ca="1">+'Financial Statements'!L82</f>
        <v>3312.6776139433523</v>
      </c>
      <c r="M19" s="239">
        <f ca="1">+'Financial Statements'!M82</f>
        <v>-2395.2684482554614</v>
      </c>
      <c r="O19" s="29"/>
      <c r="P19" s="29"/>
    </row>
    <row r="20" spans="2:16" ht="15" customHeight="1" x14ac:dyDescent="0.2">
      <c r="B20" s="32" t="s">
        <v>186</v>
      </c>
      <c r="E20" s="346" t="s">
        <v>142</v>
      </c>
      <c r="I20" s="239">
        <f>+'Financial Statements'!I91</f>
        <v>0</v>
      </c>
      <c r="J20" s="239">
        <f>+'Financial Statements'!J91</f>
        <v>0</v>
      </c>
      <c r="K20" s="239">
        <f>+'Financial Statements'!K91</f>
        <v>0</v>
      </c>
      <c r="L20" s="239">
        <f>+'Financial Statements'!L91</f>
        <v>0</v>
      </c>
      <c r="M20" s="239">
        <f>+'Financial Statements'!M91</f>
        <v>0</v>
      </c>
      <c r="O20" s="29"/>
      <c r="P20" s="29"/>
    </row>
    <row r="21" spans="2:16" ht="15" customHeight="1" x14ac:dyDescent="0.2">
      <c r="B21" s="49" t="s">
        <v>196</v>
      </c>
      <c r="C21" s="141"/>
      <c r="D21" s="141"/>
      <c r="E21" s="370" t="s">
        <v>142</v>
      </c>
      <c r="F21" s="141"/>
      <c r="G21" s="141"/>
      <c r="H21" s="287"/>
      <c r="I21" s="288">
        <f ca="1">+I18+I19+I20</f>
        <v>1784.7076921099665</v>
      </c>
      <c r="J21" s="288">
        <f t="shared" ref="J21:M21" ca="1" si="1">+J18+J19+J20</f>
        <v>1918.9575041658441</v>
      </c>
      <c r="K21" s="288">
        <f t="shared" ca="1" si="1"/>
        <v>762.97445705189671</v>
      </c>
      <c r="L21" s="288">
        <f t="shared" ca="1" si="1"/>
        <v>3503.4212282063263</v>
      </c>
      <c r="M21" s="288">
        <f t="shared" ca="1" si="1"/>
        <v>-1519.4131412038798</v>
      </c>
      <c r="O21" s="29"/>
      <c r="P21" s="29"/>
    </row>
    <row r="22" spans="2:16" ht="15" customHeight="1" x14ac:dyDescent="0.2">
      <c r="E22" s="346"/>
      <c r="I22" s="32"/>
      <c r="J22" s="32"/>
      <c r="K22" s="32"/>
      <c r="L22" s="32"/>
      <c r="M22" s="32"/>
      <c r="O22" s="29"/>
      <c r="P22" s="29"/>
    </row>
    <row r="23" spans="2:16" ht="15" customHeight="1" x14ac:dyDescent="0.2">
      <c r="B23" s="59" t="s">
        <v>6</v>
      </c>
      <c r="C23" s="66"/>
      <c r="D23" s="66"/>
      <c r="E23" s="353" t="s">
        <v>142</v>
      </c>
      <c r="F23" s="66"/>
      <c r="G23" s="66"/>
      <c r="H23" s="264"/>
      <c r="I23" s="66"/>
      <c r="J23" s="66"/>
      <c r="K23" s="66"/>
      <c r="L23" s="66"/>
      <c r="M23" s="66"/>
    </row>
    <row r="24" spans="2:16" ht="15" customHeight="1" x14ac:dyDescent="0.2">
      <c r="B24" s="32" t="s">
        <v>91</v>
      </c>
      <c r="C24" s="32"/>
      <c r="D24" s="32"/>
      <c r="E24" s="192" t="s">
        <v>142</v>
      </c>
      <c r="F24" s="32"/>
      <c r="G24" s="32"/>
      <c r="H24" s="265"/>
      <c r="I24" s="98">
        <f>+H26</f>
        <v>0</v>
      </c>
      <c r="J24" s="98">
        <f ca="1">+I26</f>
        <v>0</v>
      </c>
      <c r="K24" s="98">
        <f ca="1">+J26</f>
        <v>0</v>
      </c>
      <c r="L24" s="98">
        <f ca="1">+K26</f>
        <v>0</v>
      </c>
      <c r="M24" s="98">
        <f ca="1">+L26</f>
        <v>0</v>
      </c>
    </row>
    <row r="25" spans="2:16" ht="15" customHeight="1" x14ac:dyDescent="0.2">
      <c r="B25" s="66" t="s">
        <v>93</v>
      </c>
      <c r="C25" s="66"/>
      <c r="D25" s="66"/>
      <c r="E25" s="353" t="s">
        <v>142</v>
      </c>
      <c r="F25" s="66"/>
      <c r="G25" s="66"/>
      <c r="H25" s="267"/>
      <c r="I25" s="135">
        <f ca="1">-IF(I21&lt;0,I21,MIN(I24,I21))</f>
        <v>0</v>
      </c>
      <c r="J25" s="135">
        <f t="shared" ref="J25:M25" ca="1" si="2">-IF(J21&lt;0,J21,MIN(J24,J21))</f>
        <v>0</v>
      </c>
      <c r="K25" s="135">
        <f t="shared" ca="1" si="2"/>
        <v>0</v>
      </c>
      <c r="L25" s="135">
        <f t="shared" ca="1" si="2"/>
        <v>0</v>
      </c>
      <c r="M25" s="135">
        <f t="shared" ca="1" si="2"/>
        <v>1519.4131412038798</v>
      </c>
    </row>
    <row r="26" spans="2:16" ht="15" customHeight="1" x14ac:dyDescent="0.2">
      <c r="B26" s="48" t="s">
        <v>94</v>
      </c>
      <c r="C26" s="48"/>
      <c r="D26" s="32"/>
      <c r="E26" s="310" t="s">
        <v>142</v>
      </c>
      <c r="F26" s="136"/>
      <c r="G26" s="136"/>
      <c r="H26" s="268">
        <v>0</v>
      </c>
      <c r="I26" s="137">
        <f ca="1">+I24+I25</f>
        <v>0</v>
      </c>
      <c r="J26" s="137">
        <f ca="1">+J24+J25</f>
        <v>0</v>
      </c>
      <c r="K26" s="137">
        <f ca="1">+K24+K25</f>
        <v>0</v>
      </c>
      <c r="L26" s="137">
        <f ca="1">+L24+L25</f>
        <v>0</v>
      </c>
      <c r="M26" s="138">
        <f ca="1">+M24+M25</f>
        <v>1519.4131412038798</v>
      </c>
    </row>
    <row r="27" spans="2:16" ht="15" customHeight="1" x14ac:dyDescent="0.2">
      <c r="B27" s="32" t="s">
        <v>95</v>
      </c>
      <c r="C27" s="258">
        <v>0.1</v>
      </c>
      <c r="D27" s="32"/>
      <c r="E27" s="372" t="s">
        <v>143</v>
      </c>
      <c r="F27" s="32"/>
      <c r="G27" s="32"/>
      <c r="H27" s="269"/>
      <c r="I27" s="400">
        <f>+$C$27</f>
        <v>0.1</v>
      </c>
      <c r="J27" s="400">
        <f>+$C$27</f>
        <v>0.1</v>
      </c>
      <c r="K27" s="400">
        <f>+$C$27</f>
        <v>0.1</v>
      </c>
      <c r="L27" s="400">
        <f>+$C$27</f>
        <v>0.1</v>
      </c>
      <c r="M27" s="400">
        <f>+$C$27</f>
        <v>0.1</v>
      </c>
    </row>
    <row r="28" spans="2:16" ht="15" customHeight="1" x14ac:dyDescent="0.2">
      <c r="B28" s="32" t="s">
        <v>96</v>
      </c>
      <c r="C28" s="32"/>
      <c r="D28" s="32"/>
      <c r="E28" s="192" t="s">
        <v>142</v>
      </c>
      <c r="F28" s="32"/>
      <c r="G28" s="32"/>
      <c r="H28" s="270"/>
      <c r="I28" s="98">
        <f>+IF(Debt!$C$9=1,AVERAGE(Debt!I24,Debt!I26),Debt!I24)*Debt!I27</f>
        <v>0</v>
      </c>
      <c r="J28" s="98">
        <f ca="1">+IF(Debt!$C$9=1,AVERAGE(Debt!J24,Debt!J26),Debt!J24)*Debt!J27</f>
        <v>0</v>
      </c>
      <c r="K28" s="98">
        <f ca="1">+IF(Debt!$C$9=1,AVERAGE(Debt!K24,Debt!K26),Debt!K24)*Debt!K27</f>
        <v>0</v>
      </c>
      <c r="L28" s="99">
        <f ca="1">+IF(Debt!$C$9=1,AVERAGE(Debt!L24,Debt!L26),Debt!L24)*Debt!L27</f>
        <v>0</v>
      </c>
      <c r="M28" s="99">
        <f ca="1">+IF(Debt!$C$9=1,AVERAGE(Debt!M24,Debt!M26),Debt!M24)*Debt!M27</f>
        <v>0</v>
      </c>
    </row>
    <row r="29" spans="2:16" ht="15" customHeight="1" x14ac:dyDescent="0.2">
      <c r="B29" s="32"/>
      <c r="C29" s="32"/>
      <c r="D29" s="32"/>
      <c r="E29" s="192"/>
      <c r="F29" s="32"/>
      <c r="G29" s="32"/>
      <c r="H29" s="270"/>
      <c r="I29" s="98"/>
      <c r="J29" s="98"/>
      <c r="K29" s="98"/>
      <c r="L29" s="99"/>
      <c r="M29" s="99"/>
      <c r="N29" s="99"/>
    </row>
    <row r="30" spans="2:16" ht="15" customHeight="1" x14ac:dyDescent="0.2">
      <c r="B30" s="59" t="s">
        <v>7</v>
      </c>
      <c r="C30" s="66"/>
      <c r="D30" s="66"/>
      <c r="E30" s="353"/>
      <c r="F30" s="66"/>
      <c r="G30" s="66"/>
      <c r="H30" s="264"/>
      <c r="I30" s="66"/>
      <c r="J30" s="66"/>
      <c r="K30" s="66"/>
      <c r="L30" s="66"/>
      <c r="M30" s="66"/>
    </row>
    <row r="31" spans="2:16" ht="15" customHeight="1" x14ac:dyDescent="0.2">
      <c r="B31" s="32" t="s">
        <v>91</v>
      </c>
      <c r="C31" s="32"/>
      <c r="D31" s="32"/>
      <c r="E31" s="192" t="s">
        <v>142</v>
      </c>
      <c r="F31" s="32"/>
      <c r="G31" s="32"/>
      <c r="H31" s="266"/>
      <c r="I31" s="98">
        <f>+H36</f>
        <v>16636.508452449645</v>
      </c>
      <c r="J31" s="98">
        <f ca="1">+I36</f>
        <v>14080.503761149697</v>
      </c>
      <c r="K31" s="98">
        <f ca="1">+J36</f>
        <v>11457.374163821811</v>
      </c>
      <c r="L31" s="98">
        <f ca="1">+K36</f>
        <v>9412.2360900508975</v>
      </c>
      <c r="M31" s="99">
        <f ca="1">+L36</f>
        <v>5996.8746307027704</v>
      </c>
    </row>
    <row r="32" spans="2:16" ht="15" customHeight="1" x14ac:dyDescent="0.2">
      <c r="B32" s="32" t="s">
        <v>97</v>
      </c>
      <c r="C32" s="210"/>
      <c r="D32" s="32"/>
      <c r="E32" s="192" t="s">
        <v>142</v>
      </c>
      <c r="F32" s="32"/>
      <c r="G32" s="32"/>
      <c r="H32" s="265"/>
      <c r="I32" s="98">
        <f>-MIN(IF(I10&lt;=$G$6,+($H$36*(1-$H$6)/($G$6)),0),I31)</f>
        <v>-1663.6508452449646</v>
      </c>
      <c r="J32" s="98">
        <f ca="1">-MIN(IF(J10&lt;=$G$6,+($H$36*(1-$H$6)/($G$6)),0),J31)</f>
        <v>-1663.6508452449646</v>
      </c>
      <c r="K32" s="98">
        <f ca="1">-MIN(IF(K10&lt;=$G$6,+($H$36*(1-$H$6)/($G$6)),0),K31)</f>
        <v>-1663.6508452449646</v>
      </c>
      <c r="L32" s="98">
        <f ca="1">-MIN(IF(L10&lt;=$G$6,+($H$36*(1-$H$6)/($G$6)),0),L31)</f>
        <v>-1663.6508452449646</v>
      </c>
      <c r="M32" s="98">
        <f ca="1">-MIN(IF(M10&lt;=$G$6,+($H$36*(1-$H$6)/($G$6)),0),M31)</f>
        <v>-1663.6508452449646</v>
      </c>
    </row>
    <row r="33" spans="1:15" ht="15" customHeight="1" x14ac:dyDescent="0.2">
      <c r="B33" s="32" t="s">
        <v>98</v>
      </c>
      <c r="C33" s="32"/>
      <c r="D33" s="32"/>
      <c r="E33" s="192" t="s">
        <v>142</v>
      </c>
      <c r="F33" s="32"/>
      <c r="G33" s="32"/>
      <c r="H33" s="265"/>
      <c r="I33" s="98">
        <f>-IF(I10=$F$6,MIN(I31+I32,$H$36*$H$6),0)</f>
        <v>0</v>
      </c>
      <c r="J33" s="98">
        <f>-IF(J10=$F$6,MIN(J31+J32,$H$36*$H$6),0)</f>
        <v>0</v>
      </c>
      <c r="K33" s="98">
        <f>-IF(K10=$F$6,MIN(K31+K32,$H$36*$H$6),0)</f>
        <v>0</v>
      </c>
      <c r="L33" s="98">
        <f>-IF(L10=$F$6,MIN(L31+L32,$H$36*$H$6),0)</f>
        <v>0</v>
      </c>
      <c r="M33" s="98">
        <f ca="1">-IF(M10=$F$6,MIN(M31+M32,$H$36*$H$6),0)</f>
        <v>0</v>
      </c>
    </row>
    <row r="34" spans="1:15" ht="15" customHeight="1" x14ac:dyDescent="0.2">
      <c r="B34" s="32" t="s">
        <v>99</v>
      </c>
      <c r="C34" s="32"/>
      <c r="D34" s="32"/>
      <c r="E34" s="192" t="s">
        <v>142</v>
      </c>
      <c r="F34" s="32"/>
      <c r="G34" s="32"/>
      <c r="H34" s="265"/>
      <c r="I34" s="98">
        <f>-IF(I10=$F$6,MIN(SUM(I31:I33)),0)</f>
        <v>0</v>
      </c>
      <c r="J34" s="98">
        <f>-IF(J10=$F$6,MIN(SUM(J31:J33)),0)</f>
        <v>0</v>
      </c>
      <c r="K34" s="98">
        <f>-IF(K10=$F$6,MIN(SUM(K31:K33)),0)</f>
        <v>0</v>
      </c>
      <c r="L34" s="98">
        <f>-IF(L10=$F$6,MIN(SUM(L31:L33)),0)</f>
        <v>0</v>
      </c>
      <c r="M34" s="98">
        <f ca="1">-IF(M10=$F$6,MIN(SUM(M31:M33)),0)</f>
        <v>-4333.2237854578061</v>
      </c>
    </row>
    <row r="35" spans="1:15" ht="15" customHeight="1" x14ac:dyDescent="0.2">
      <c r="B35" s="66" t="s">
        <v>100</v>
      </c>
      <c r="C35" s="286">
        <v>0.5</v>
      </c>
      <c r="D35" s="66"/>
      <c r="E35" s="353" t="s">
        <v>142</v>
      </c>
      <c r="F35" s="66"/>
      <c r="G35" s="66"/>
      <c r="H35" s="271"/>
      <c r="I35" s="135">
        <f ca="1">-IF(I21&gt;0,MIN((I21+I25)*$C$35,SUM(I31:I34)))</f>
        <v>-892.35384605498325</v>
      </c>
      <c r="J35" s="135">
        <f t="shared" ref="J35:M35" ca="1" si="3">-IF(J21&gt;0,MIN((J21+J25)*$C$35,SUM(J31:J34)))</f>
        <v>-959.47875208292203</v>
      </c>
      <c r="K35" s="135">
        <f t="shared" ca="1" si="3"/>
        <v>-381.48722852594835</v>
      </c>
      <c r="L35" s="135">
        <f t="shared" ca="1" si="3"/>
        <v>-1751.7106141031632</v>
      </c>
      <c r="M35" s="135">
        <f t="shared" ca="1" si="3"/>
        <v>0</v>
      </c>
    </row>
    <row r="36" spans="1:15" ht="15" customHeight="1" x14ac:dyDescent="0.2">
      <c r="B36" s="48" t="s">
        <v>94</v>
      </c>
      <c r="C36" s="48"/>
      <c r="D36" s="32"/>
      <c r="E36" s="192" t="s">
        <v>142</v>
      </c>
      <c r="F36" s="48"/>
      <c r="G36" s="48"/>
      <c r="H36" s="285">
        <f>+D6</f>
        <v>16636.508452449645</v>
      </c>
      <c r="I36" s="137">
        <f ca="1">SUM(I31:I35)</f>
        <v>14080.503761149697</v>
      </c>
      <c r="J36" s="137">
        <f ca="1">SUM(J31:J35)</f>
        <v>11457.374163821811</v>
      </c>
      <c r="K36" s="137">
        <f ca="1">SUM(K31:K35)</f>
        <v>9412.2360900508975</v>
      </c>
      <c r="L36" s="137">
        <f ca="1">SUM(L31:L35)</f>
        <v>5996.8746307027704</v>
      </c>
      <c r="M36" s="138">
        <f ca="1">SUM(M31:M35)</f>
        <v>0</v>
      </c>
    </row>
    <row r="37" spans="1:15" ht="15" customHeight="1" x14ac:dyDescent="0.2">
      <c r="B37" s="32" t="s">
        <v>101</v>
      </c>
      <c r="C37" s="32"/>
      <c r="D37" s="32"/>
      <c r="E37" s="192" t="s">
        <v>143</v>
      </c>
      <c r="F37" s="32"/>
      <c r="G37" s="32"/>
      <c r="H37" s="272"/>
      <c r="I37" s="401">
        <f>+$E$6</f>
        <v>6.5000000000000002E-2</v>
      </c>
      <c r="J37" s="401">
        <f t="shared" ref="J37:M37" si="4">+$E$6</f>
        <v>6.5000000000000002E-2</v>
      </c>
      <c r="K37" s="401">
        <f t="shared" si="4"/>
        <v>6.5000000000000002E-2</v>
      </c>
      <c r="L37" s="401">
        <f t="shared" si="4"/>
        <v>6.5000000000000002E-2</v>
      </c>
      <c r="M37" s="401">
        <f t="shared" si="4"/>
        <v>6.5000000000000002E-2</v>
      </c>
    </row>
    <row r="38" spans="1:15" ht="15" customHeight="1" x14ac:dyDescent="0.2">
      <c r="B38" s="32" t="s">
        <v>102</v>
      </c>
      <c r="C38" s="32"/>
      <c r="D38" s="32"/>
      <c r="E38" s="192" t="s">
        <v>142</v>
      </c>
      <c r="F38" s="32"/>
      <c r="G38" s="32"/>
      <c r="H38" s="289"/>
      <c r="I38" s="98">
        <f ca="1">+AVERAGE(I36,I31)*I37</f>
        <v>998.3028969419787</v>
      </c>
      <c r="J38" s="98">
        <f t="shared" ref="J38:M38" ca="1" si="5">+AVERAGE(J36,J31)*J37</f>
        <v>829.98103256157401</v>
      </c>
      <c r="K38" s="98">
        <f t="shared" ca="1" si="5"/>
        <v>678.26233325086298</v>
      </c>
      <c r="L38" s="98">
        <f t="shared" ca="1" si="5"/>
        <v>500.79609842449423</v>
      </c>
      <c r="M38" s="98">
        <f t="shared" ca="1" si="5"/>
        <v>194.89842549784004</v>
      </c>
    </row>
    <row r="39" spans="1:15" ht="15" customHeight="1" x14ac:dyDescent="0.2">
      <c r="A39" s="31"/>
      <c r="B39" s="31"/>
      <c r="C39" s="31"/>
      <c r="D39" s="31"/>
      <c r="E39" s="359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1:15" customFormat="1" ht="15" customHeight="1" x14ac:dyDescent="0.25">
      <c r="B40" s="59" t="s">
        <v>8</v>
      </c>
      <c r="C40" s="66"/>
      <c r="D40" s="66"/>
      <c r="E40" s="353" t="s">
        <v>142</v>
      </c>
      <c r="F40" s="66"/>
      <c r="G40" s="66"/>
      <c r="H40" s="264"/>
      <c r="I40" s="66"/>
      <c r="J40" s="66"/>
      <c r="K40" s="66"/>
      <c r="L40" s="66"/>
      <c r="M40" s="66"/>
    </row>
    <row r="41" spans="1:15" customFormat="1" ht="15" customHeight="1" x14ac:dyDescent="0.25">
      <c r="B41" s="32" t="s">
        <v>91</v>
      </c>
      <c r="C41" s="32"/>
      <c r="D41" s="32"/>
      <c r="E41" s="192" t="s">
        <v>142</v>
      </c>
      <c r="F41" s="32"/>
      <c r="G41" s="32"/>
      <c r="H41" s="266"/>
      <c r="I41" s="98">
        <f>+H46</f>
        <v>8318.2542262248226</v>
      </c>
      <c r="J41" s="98">
        <f ca="1">+I46</f>
        <v>7040.2518805748487</v>
      </c>
      <c r="K41" s="98">
        <f ca="1">+J46</f>
        <v>5728.6870819109054</v>
      </c>
      <c r="L41" s="98">
        <f ca="1">+K46</f>
        <v>4706.1180450254487</v>
      </c>
      <c r="M41" s="99">
        <f ca="1">+L46</f>
        <v>2998.4373153513852</v>
      </c>
    </row>
    <row r="42" spans="1:15" customFormat="1" ht="15" customHeight="1" x14ac:dyDescent="0.25">
      <c r="B42" s="32" t="s">
        <v>97</v>
      </c>
      <c r="C42" s="210"/>
      <c r="D42" s="32"/>
      <c r="E42" s="192" t="s">
        <v>142</v>
      </c>
      <c r="F42" s="32"/>
      <c r="G42" s="32"/>
      <c r="H42" s="265"/>
      <c r="I42" s="98">
        <f>-MIN(IF(I10&lt;=$G$7,+($H$46*(1-$H$7)/($G$7)),0),I41)</f>
        <v>-831.82542262248228</v>
      </c>
      <c r="J42" s="98">
        <f ca="1">-MIN(IF(J10&lt;=$G$7,+($H$46*(1-$H$7)/($G$7)),0),J41)</f>
        <v>-831.82542262248228</v>
      </c>
      <c r="K42" s="98">
        <f ca="1">-MIN(IF(K10&lt;=$G$7,+($H$46*(1-$H$7)/($G$7)),0),K41)</f>
        <v>-831.82542262248228</v>
      </c>
      <c r="L42" s="98">
        <f ca="1">-MIN(IF(L10&lt;=$G$7,+($H$46*(1-$H$7)/($G$7)),0),L41)</f>
        <v>-831.82542262248228</v>
      </c>
      <c r="M42" s="98">
        <f ca="1">-MIN(IF(M10&lt;=$G$7,+($H$46*(1-$H$7)/($G$7)),0),M41)</f>
        <v>-831.82542262248228</v>
      </c>
    </row>
    <row r="43" spans="1:15" customFormat="1" ht="15" customHeight="1" x14ac:dyDescent="0.25">
      <c r="B43" s="32" t="s">
        <v>98</v>
      </c>
      <c r="C43" s="32"/>
      <c r="D43" s="32"/>
      <c r="E43" s="192" t="s">
        <v>142</v>
      </c>
      <c r="F43" s="32"/>
      <c r="G43" s="32"/>
      <c r="H43" s="265"/>
      <c r="I43" s="98">
        <f>-IF(I10=$F$7,MIN(I41+I42,$H$46*$H$7),0)</f>
        <v>0</v>
      </c>
      <c r="J43" s="98">
        <f>-IF(J10=$F$7,MIN(J41+J42,$H$46*$H$7),0)</f>
        <v>0</v>
      </c>
      <c r="K43" s="98">
        <f>-IF(K10=$F$7,MIN(K41+K42,$H$46*$H$7),0)</f>
        <v>0</v>
      </c>
      <c r="L43" s="98">
        <f>-IF(L10=$F$7,MIN(L41+L42,$H$46*$H$7),0)</f>
        <v>0</v>
      </c>
      <c r="M43" s="98">
        <f ca="1">-IF(M10=$F$7,MIN(M41+M42,$H$46*$H$7),0)</f>
        <v>0</v>
      </c>
    </row>
    <row r="44" spans="1:15" customFormat="1" ht="15" customHeight="1" x14ac:dyDescent="0.25">
      <c r="B44" s="32" t="s">
        <v>99</v>
      </c>
      <c r="C44" s="32"/>
      <c r="D44" s="32"/>
      <c r="E44" s="192" t="s">
        <v>142</v>
      </c>
      <c r="F44" s="32"/>
      <c r="G44" s="32"/>
      <c r="H44" s="265"/>
      <c r="I44" s="98">
        <f>-IF(I10=$F$7,MIN(SUM(I41:I43)),0)</f>
        <v>0</v>
      </c>
      <c r="J44" s="98">
        <f>-IF(J10=$F$7,MIN(SUM(J41:J43)),0)</f>
        <v>0</v>
      </c>
      <c r="K44" s="98">
        <f>-IF(K10=$F$7,MIN(SUM(K41:K43)),0)</f>
        <v>0</v>
      </c>
      <c r="L44" s="98">
        <f>-IF(L10=$F$7,MIN(SUM(L41:L43)),0)</f>
        <v>0</v>
      </c>
      <c r="M44" s="98">
        <f ca="1">-IF(M10=$F$7,MIN(SUM(M41:M43)),0)</f>
        <v>-2166.6118927289031</v>
      </c>
    </row>
    <row r="45" spans="1:15" customFormat="1" ht="15" customHeight="1" x14ac:dyDescent="0.25">
      <c r="B45" s="66" t="s">
        <v>100</v>
      </c>
      <c r="C45" s="286">
        <v>0.5</v>
      </c>
      <c r="D45" s="66"/>
      <c r="E45" s="353" t="s">
        <v>142</v>
      </c>
      <c r="F45" s="66"/>
      <c r="G45" s="66"/>
      <c r="H45" s="271"/>
      <c r="I45" s="135">
        <f ca="1">-IF(I21&gt;0,MIN((I21+I25+I35)*$C$45,SUM(I41:I44)))</f>
        <v>-446.17692302749163</v>
      </c>
      <c r="J45" s="135">
        <f t="shared" ref="J45:M45" ca="1" si="6">-IF(J21&gt;0,MIN((J21+J25+J35)*$C$45,SUM(J41:J44)))</f>
        <v>-479.73937604146101</v>
      </c>
      <c r="K45" s="135">
        <f t="shared" ca="1" si="6"/>
        <v>-190.74361426297418</v>
      </c>
      <c r="L45" s="135">
        <f t="shared" ca="1" si="6"/>
        <v>-875.85530705158158</v>
      </c>
      <c r="M45" s="135">
        <f t="shared" ca="1" si="6"/>
        <v>0</v>
      </c>
    </row>
    <row r="46" spans="1:15" customFormat="1" ht="15" customHeight="1" x14ac:dyDescent="0.25">
      <c r="B46" s="48" t="s">
        <v>94</v>
      </c>
      <c r="C46" s="48"/>
      <c r="D46" s="32"/>
      <c r="E46" s="192" t="s">
        <v>142</v>
      </c>
      <c r="F46" s="48"/>
      <c r="G46" s="48"/>
      <c r="H46" s="285">
        <f>+D7</f>
        <v>8318.2542262248226</v>
      </c>
      <c r="I46" s="137">
        <f ca="1">SUM(I41:I45)</f>
        <v>7040.2518805748487</v>
      </c>
      <c r="J46" s="137">
        <f ca="1">SUM(J41:J45)</f>
        <v>5728.6870819109054</v>
      </c>
      <c r="K46" s="137">
        <f ca="1">SUM(K41:K45)</f>
        <v>4706.1180450254487</v>
      </c>
      <c r="L46" s="137">
        <f ca="1">SUM(L41:L45)</f>
        <v>2998.4373153513852</v>
      </c>
      <c r="M46" s="138">
        <f ca="1">SUM(M41:M45)</f>
        <v>0</v>
      </c>
    </row>
    <row r="47" spans="1:15" customFormat="1" ht="15" customHeight="1" x14ac:dyDescent="0.25">
      <c r="B47" s="32" t="s">
        <v>101</v>
      </c>
      <c r="C47" s="32"/>
      <c r="D47" s="32"/>
      <c r="E47" s="192" t="s">
        <v>143</v>
      </c>
      <c r="F47" s="32"/>
      <c r="G47" s="32"/>
      <c r="H47" s="272"/>
      <c r="I47" s="401">
        <f>+$E$7</f>
        <v>0.08</v>
      </c>
      <c r="J47" s="401">
        <f t="shared" ref="J47:M47" si="7">+$E$7</f>
        <v>0.08</v>
      </c>
      <c r="K47" s="401">
        <f t="shared" si="7"/>
        <v>0.08</v>
      </c>
      <c r="L47" s="401">
        <f t="shared" si="7"/>
        <v>0.08</v>
      </c>
      <c r="M47" s="401">
        <f t="shared" si="7"/>
        <v>0.08</v>
      </c>
    </row>
    <row r="48" spans="1:15" customFormat="1" ht="15" customHeight="1" x14ac:dyDescent="0.25">
      <c r="B48" s="32" t="s">
        <v>102</v>
      </c>
      <c r="C48" s="32"/>
      <c r="D48" s="32"/>
      <c r="E48" s="192" t="s">
        <v>142</v>
      </c>
      <c r="F48" s="32"/>
      <c r="G48" s="32"/>
      <c r="H48" s="289"/>
      <c r="I48" s="98">
        <f ca="1">+AVERAGE(I46,I41)*I47</f>
        <v>614.34024427198688</v>
      </c>
      <c r="J48" s="98">
        <f t="shared" ref="J48" ca="1" si="8">+AVERAGE(J46,J41)*J47</f>
        <v>510.75755849943016</v>
      </c>
      <c r="K48" s="98">
        <f t="shared" ref="K48" ca="1" si="9">+AVERAGE(K46,K41)*K47</f>
        <v>417.39220507745415</v>
      </c>
      <c r="L48" s="98">
        <f t="shared" ref="L48" ca="1" si="10">+AVERAGE(L46,L41)*L47</f>
        <v>308.18221441507336</v>
      </c>
      <c r="M48" s="98">
        <f t="shared" ref="M48" ca="1" si="11">+AVERAGE(M46,M41)*M47</f>
        <v>119.93749261405542</v>
      </c>
    </row>
    <row r="49" spans="2:13" customFormat="1" ht="15" customHeight="1" x14ac:dyDescent="0.25">
      <c r="E49" s="371"/>
      <c r="H49" s="167"/>
      <c r="I49" s="167"/>
      <c r="J49" s="167"/>
      <c r="K49" s="167"/>
      <c r="L49" s="167"/>
      <c r="M49" s="167"/>
    </row>
    <row r="50" spans="2:13" customFormat="1" ht="15" customHeight="1" x14ac:dyDescent="0.25">
      <c r="B50" s="59" t="s">
        <v>202</v>
      </c>
      <c r="C50" s="297"/>
      <c r="D50" s="297"/>
      <c r="E50" s="369"/>
      <c r="F50" s="297"/>
      <c r="G50" s="297"/>
      <c r="H50" s="211"/>
      <c r="I50" s="211"/>
      <c r="J50" s="211"/>
      <c r="K50" s="211"/>
      <c r="L50" s="211"/>
      <c r="M50" s="211"/>
    </row>
    <row r="51" spans="2:13" customFormat="1" ht="15" customHeight="1" x14ac:dyDescent="0.25">
      <c r="B51" s="32" t="s">
        <v>206</v>
      </c>
      <c r="E51" s="174" t="s">
        <v>142</v>
      </c>
      <c r="H51" s="167"/>
      <c r="I51" s="169">
        <f>-I32-I42</f>
        <v>2495.4762678674469</v>
      </c>
      <c r="J51" s="169">
        <f t="shared" ref="J51:M51" ca="1" si="12">-J32-J42</f>
        <v>2495.4762678674469</v>
      </c>
      <c r="K51" s="169">
        <f t="shared" ca="1" si="12"/>
        <v>2495.4762678674469</v>
      </c>
      <c r="L51" s="169">
        <f t="shared" ca="1" si="12"/>
        <v>2495.4762678674469</v>
      </c>
      <c r="M51" s="169">
        <f t="shared" ca="1" si="12"/>
        <v>2495.4762678674469</v>
      </c>
    </row>
    <row r="52" spans="2:13" customFormat="1" ht="15" customHeight="1" x14ac:dyDescent="0.25">
      <c r="B52" s="32" t="s">
        <v>207</v>
      </c>
      <c r="E52" s="174" t="s">
        <v>142</v>
      </c>
      <c r="H52" s="167"/>
      <c r="I52" s="169">
        <f>-I33-I34-I43-I44</f>
        <v>0</v>
      </c>
      <c r="J52" s="169">
        <f t="shared" ref="J52:M52" si="13">-J33-J34-J43-J44</f>
        <v>0</v>
      </c>
      <c r="K52" s="169">
        <f t="shared" si="13"/>
        <v>0</v>
      </c>
      <c r="L52" s="169">
        <f t="shared" si="13"/>
        <v>0</v>
      </c>
      <c r="M52" s="169">
        <f t="shared" ca="1" si="13"/>
        <v>6499.8356781867096</v>
      </c>
    </row>
    <row r="53" spans="2:13" customFormat="1" ht="15" customHeight="1" x14ac:dyDescent="0.25">
      <c r="B53" s="32" t="s">
        <v>203</v>
      </c>
      <c r="E53" s="174" t="s">
        <v>142</v>
      </c>
      <c r="H53" s="167"/>
      <c r="I53" s="169">
        <f ca="1">-I45-I35</f>
        <v>1338.5307690824748</v>
      </c>
      <c r="J53" s="169">
        <f t="shared" ref="J53:M53" ca="1" si="14">-J45-J35</f>
        <v>1439.2181281243829</v>
      </c>
      <c r="K53" s="169">
        <f t="shared" ca="1" si="14"/>
        <v>572.23084278892247</v>
      </c>
      <c r="L53" s="169">
        <f t="shared" ca="1" si="14"/>
        <v>2627.5659211547445</v>
      </c>
      <c r="M53" s="169">
        <f t="shared" ca="1" si="14"/>
        <v>0</v>
      </c>
    </row>
    <row r="54" spans="2:13" customFormat="1" ht="15" customHeight="1" x14ac:dyDescent="0.25">
      <c r="B54" s="32" t="s">
        <v>6</v>
      </c>
      <c r="E54" s="174" t="s">
        <v>142</v>
      </c>
      <c r="H54" s="167"/>
      <c r="I54" s="169">
        <f ca="1">-IF(I25&lt;0,I25,0)</f>
        <v>0</v>
      </c>
      <c r="J54" s="169">
        <f t="shared" ref="J54:M54" ca="1" si="15">-IF(J25&lt;0,J25,0)</f>
        <v>0</v>
      </c>
      <c r="K54" s="169">
        <f t="shared" ca="1" si="15"/>
        <v>0</v>
      </c>
      <c r="L54" s="169">
        <f t="shared" ca="1" si="15"/>
        <v>0</v>
      </c>
      <c r="M54" s="169">
        <f t="shared" ca="1" si="15"/>
        <v>0</v>
      </c>
    </row>
    <row r="55" spans="2:13" customFormat="1" ht="15" customHeight="1" x14ac:dyDescent="0.25">
      <c r="B55" s="32" t="s">
        <v>204</v>
      </c>
      <c r="E55" s="174" t="s">
        <v>142</v>
      </c>
      <c r="H55" s="167"/>
      <c r="I55" s="169">
        <f ca="1">+I48+I38+I28</f>
        <v>1612.6431412139655</v>
      </c>
      <c r="J55" s="169">
        <f t="shared" ref="J55:M55" ca="1" si="16">+J48+J38+J28</f>
        <v>1340.7385910610042</v>
      </c>
      <c r="K55" s="169">
        <f t="shared" ca="1" si="16"/>
        <v>1095.6545383283171</v>
      </c>
      <c r="L55" s="169">
        <f t="shared" ca="1" si="16"/>
        <v>808.97831283956759</v>
      </c>
      <c r="M55" s="169">
        <f t="shared" ca="1" si="16"/>
        <v>314.83591811189547</v>
      </c>
    </row>
    <row r="56" spans="2:13" customFormat="1" ht="15" customHeight="1" x14ac:dyDescent="0.25">
      <c r="B56" s="57" t="s">
        <v>205</v>
      </c>
      <c r="C56" s="296"/>
      <c r="D56" s="296"/>
      <c r="E56" s="373" t="s">
        <v>142</v>
      </c>
      <c r="F56" s="296"/>
      <c r="G56" s="296"/>
      <c r="H56" s="298"/>
      <c r="I56" s="299">
        <f ca="1">+SUM(I51:I55)</f>
        <v>5446.6501781638872</v>
      </c>
      <c r="J56" s="299">
        <f t="shared" ref="J56:M56" ca="1" si="17">+SUM(J51:J55)</f>
        <v>5275.4329870528345</v>
      </c>
      <c r="K56" s="299">
        <f t="shared" ca="1" si="17"/>
        <v>4163.3616489846863</v>
      </c>
      <c r="L56" s="299">
        <f t="shared" ca="1" si="17"/>
        <v>5932.0205018617589</v>
      </c>
      <c r="M56" s="299">
        <f t="shared" ca="1" si="17"/>
        <v>9310.1478641660524</v>
      </c>
    </row>
    <row r="57" spans="2:13" customFormat="1" ht="15" customHeight="1" x14ac:dyDescent="0.25">
      <c r="B57" s="13"/>
      <c r="C57" s="29"/>
      <c r="E57" s="371"/>
      <c r="H57" s="167"/>
      <c r="I57" s="167"/>
      <c r="J57" s="167"/>
      <c r="K57" s="167"/>
      <c r="L57" s="301" t="s">
        <v>155</v>
      </c>
      <c r="M57" s="300">
        <f ca="1">+D6+D7-SUM(I51:M53)-M36-M46</f>
        <v>0</v>
      </c>
    </row>
    <row r="58" spans="2:13" ht="15" customHeight="1" x14ac:dyDescent="0.2">
      <c r="B58" s="59" t="s">
        <v>188</v>
      </c>
      <c r="C58" s="66"/>
      <c r="D58" s="66"/>
      <c r="E58" s="353"/>
      <c r="F58" s="66"/>
      <c r="G58" s="66"/>
      <c r="H58" s="264"/>
      <c r="I58" s="66"/>
      <c r="J58" s="66"/>
      <c r="K58" s="66"/>
      <c r="L58" s="66"/>
      <c r="M58" s="66"/>
    </row>
    <row r="59" spans="2:13" ht="15" customHeight="1" x14ac:dyDescent="0.2">
      <c r="B59" s="48"/>
      <c r="C59" s="32"/>
      <c r="D59" s="32"/>
      <c r="E59" s="192"/>
      <c r="F59" s="32"/>
      <c r="G59" s="32"/>
      <c r="H59" s="293"/>
      <c r="I59" s="32"/>
      <c r="J59" s="32"/>
      <c r="K59" s="32"/>
      <c r="L59" s="32"/>
      <c r="M59" s="32"/>
    </row>
    <row r="60" spans="2:13" ht="15" customHeight="1" x14ac:dyDescent="0.2">
      <c r="B60" s="48" t="s">
        <v>201</v>
      </c>
      <c r="C60" s="32"/>
      <c r="D60" s="32"/>
      <c r="E60" s="192"/>
      <c r="F60" s="32"/>
      <c r="G60" s="32"/>
      <c r="H60" s="293"/>
      <c r="I60" s="32"/>
      <c r="J60" s="32"/>
      <c r="K60" s="32"/>
      <c r="L60" s="32"/>
      <c r="M60" s="32"/>
    </row>
    <row r="61" spans="2:13" ht="15" customHeight="1" x14ac:dyDescent="0.2">
      <c r="B61" s="226" t="s">
        <v>105</v>
      </c>
      <c r="C61" s="32"/>
      <c r="D61" s="32"/>
      <c r="E61" s="192" t="s">
        <v>142</v>
      </c>
      <c r="F61" s="32"/>
      <c r="G61" s="32"/>
      <c r="H61" s="293"/>
      <c r="I61" s="295">
        <f>+'Financial Statements'!I31</f>
        <v>8906.6377133891219</v>
      </c>
      <c r="J61" s="295">
        <f>+'Financial Statements'!J31</f>
        <v>9303.0293043494912</v>
      </c>
      <c r="K61" s="295">
        <f>+'Financial Statements'!K31</f>
        <v>10140.561173162932</v>
      </c>
      <c r="L61" s="295">
        <f>+'Financial Statements'!L31</f>
        <v>10838.830677772166</v>
      </c>
      <c r="M61" s="295">
        <f>+'Financial Statements'!M31</f>
        <v>11698.13446649975</v>
      </c>
    </row>
    <row r="62" spans="2:13" ht="15" customHeight="1" x14ac:dyDescent="0.2">
      <c r="B62" s="226" t="s">
        <v>147</v>
      </c>
      <c r="C62" s="32"/>
      <c r="D62" s="32"/>
      <c r="E62" s="192" t="s">
        <v>142</v>
      </c>
      <c r="F62" s="32"/>
      <c r="G62" s="32"/>
      <c r="H62" s="293"/>
      <c r="I62" s="295">
        <f>+'PP&amp;E'!I23</f>
        <v>1280.1296211184003</v>
      </c>
      <c r="J62" s="295">
        <f>+'PP&amp;E'!J23</f>
        <v>1214.9322135407683</v>
      </c>
      <c r="K62" s="295">
        <f>+'PP&amp;E'!K23</f>
        <v>2815.5908578115836</v>
      </c>
      <c r="L62" s="295">
        <f>+'PP&amp;E'!L23</f>
        <v>862.09067496781529</v>
      </c>
      <c r="M62" s="295">
        <f>+'PP&amp;E'!M23</f>
        <v>916.99588846717165</v>
      </c>
    </row>
    <row r="63" spans="2:13" ht="15" customHeight="1" x14ac:dyDescent="0.2">
      <c r="B63" s="226" t="s">
        <v>198</v>
      </c>
      <c r="C63" s="32"/>
      <c r="D63" s="32"/>
      <c r="E63" s="192" t="s">
        <v>142</v>
      </c>
      <c r="F63" s="32"/>
      <c r="G63" s="32"/>
      <c r="H63" s="293"/>
      <c r="I63" s="295">
        <f ca="1">-'Financial Statements'!I38</f>
        <v>2346.9523650440024</v>
      </c>
      <c r="J63" s="295">
        <f ca="1">-'Financial Statements'!J38</f>
        <v>2527.7027300912596</v>
      </c>
      <c r="K63" s="295">
        <f ca="1">-'Financial Statements'!K38</f>
        <v>2715.1805036593969</v>
      </c>
      <c r="L63" s="295">
        <f ca="1">-'Financial Statements'!L38</f>
        <v>3007.9995916990665</v>
      </c>
      <c r="M63" s="295">
        <f ca="1">-'Financial Statements'!M38</f>
        <v>3446.8306687399304</v>
      </c>
    </row>
    <row r="64" spans="2:13" ht="15" customHeight="1" x14ac:dyDescent="0.2">
      <c r="B64" s="226" t="s">
        <v>199</v>
      </c>
      <c r="C64" s="32"/>
      <c r="D64" s="32"/>
      <c r="E64" s="192" t="s">
        <v>142</v>
      </c>
      <c r="F64" s="32"/>
      <c r="G64" s="32"/>
      <c r="H64" s="293"/>
      <c r="I64" s="402">
        <f ca="1">+I55</f>
        <v>1612.6431412139655</v>
      </c>
      <c r="J64" s="402">
        <f ca="1">+J55</f>
        <v>1340.7385910610042</v>
      </c>
      <c r="K64" s="402">
        <f ca="1">+K55</f>
        <v>1095.6545383283171</v>
      </c>
      <c r="L64" s="402">
        <f ca="1">+L55</f>
        <v>808.97831283956759</v>
      </c>
      <c r="M64" s="402">
        <f ca="1">+M55</f>
        <v>314.83591811189547</v>
      </c>
    </row>
    <row r="65" spans="2:13" ht="15" customHeight="1" x14ac:dyDescent="0.2">
      <c r="B65" s="226" t="s">
        <v>200</v>
      </c>
      <c r="C65" s="32"/>
      <c r="D65" s="32"/>
      <c r="E65" s="192" t="s">
        <v>142</v>
      </c>
      <c r="F65" s="32"/>
      <c r="G65" s="32"/>
      <c r="H65" s="293"/>
      <c r="I65" s="402">
        <f>+I51</f>
        <v>2495.4762678674469</v>
      </c>
      <c r="J65" s="402">
        <f ca="1">+J51</f>
        <v>2495.4762678674469</v>
      </c>
      <c r="K65" s="402">
        <f ca="1">+K51</f>
        <v>2495.4762678674469</v>
      </c>
      <c r="L65" s="402">
        <f ca="1">+L51</f>
        <v>2495.4762678674469</v>
      </c>
      <c r="M65" s="402">
        <f ca="1">+M51</f>
        <v>2495.4762678674469</v>
      </c>
    </row>
    <row r="66" spans="2:13" ht="15" customHeight="1" x14ac:dyDescent="0.2">
      <c r="B66" s="57" t="s">
        <v>197</v>
      </c>
      <c r="C66" s="49"/>
      <c r="D66" s="49"/>
      <c r="E66" s="363" t="s">
        <v>0</v>
      </c>
      <c r="F66" s="49"/>
      <c r="G66" s="49"/>
      <c r="H66" s="294"/>
      <c r="I66" s="302">
        <f ca="1">+(I61-I62-I63)/(I64+I65)</f>
        <v>1.2851514772320709</v>
      </c>
      <c r="J66" s="302">
        <f t="shared" ref="J66:M66" ca="1" si="18">+(J61-J62-J63)/(J64+J65)</f>
        <v>1.4494481058004707</v>
      </c>
      <c r="K66" s="302">
        <f t="shared" ca="1" si="18"/>
        <v>1.2836596772634123</v>
      </c>
      <c r="L66" s="302">
        <f t="shared" ca="1" si="18"/>
        <v>2.1088927812148248</v>
      </c>
      <c r="M66" s="302">
        <f t="shared" ca="1" si="18"/>
        <v>2.6097840467274547</v>
      </c>
    </row>
    <row r="67" spans="2:13" ht="15" customHeight="1" x14ac:dyDescent="0.2">
      <c r="B67" s="48"/>
      <c r="C67" s="32"/>
      <c r="D67" s="32"/>
      <c r="E67" s="192"/>
      <c r="F67" s="32"/>
      <c r="G67" s="32"/>
      <c r="H67" s="293"/>
      <c r="I67" s="32"/>
      <c r="J67" s="32"/>
      <c r="K67" s="32"/>
      <c r="L67" s="32"/>
      <c r="M67" s="32"/>
    </row>
    <row r="68" spans="2:13" ht="15" customHeight="1" x14ac:dyDescent="0.2">
      <c r="B68" s="29" t="s">
        <v>208</v>
      </c>
      <c r="E68" s="346" t="s">
        <v>0</v>
      </c>
      <c r="H68" s="303">
        <f>+H36/'Financial Statements'!H31</f>
        <v>1.9999999999999996</v>
      </c>
      <c r="I68" s="303">
        <f ca="1">+I36/'Financial Statements'!I31</f>
        <v>1.580900022461095</v>
      </c>
      <c r="J68" s="303">
        <f ca="1">+J36/'Financial Statements'!J31</f>
        <v>1.231574553727901</v>
      </c>
      <c r="K68" s="303">
        <f ca="1">+K36/'Financial Statements'!K31</f>
        <v>0.92817704359009712</v>
      </c>
      <c r="L68" s="303">
        <f ca="1">+L36/'Financial Statements'!L31</f>
        <v>0.55327689941691938</v>
      </c>
      <c r="M68" s="303">
        <f ca="1">+M36/'Financial Statements'!M31</f>
        <v>0</v>
      </c>
    </row>
    <row r="69" spans="2:13" ht="15" customHeight="1" x14ac:dyDescent="0.2">
      <c r="B69" s="29" t="s">
        <v>216</v>
      </c>
      <c r="E69" s="346" t="s">
        <v>0</v>
      </c>
      <c r="H69" s="303">
        <f>+('Financial Statements'!H61+'Financial Statements'!H62+'Financial Statements'!H56)/'Financial Statements'!H31</f>
        <v>2.9999999999999991</v>
      </c>
      <c r="I69" s="303">
        <f ca="1">+('Financial Statements'!I61+'Financial Statements'!I62+'Financial Statements'!I56)/'Financial Statements'!I31</f>
        <v>2.3713500336916424</v>
      </c>
      <c r="J69" s="303">
        <f ca="1">+('Financial Statements'!J61+'Financial Statements'!J62+'Financial Statements'!J56)/'Financial Statements'!J31</f>
        <v>1.8473618305918516</v>
      </c>
      <c r="K69" s="303">
        <f ca="1">+('Financial Statements'!K61+'Financial Statements'!K62+'Financial Statements'!K56)/'Financial Statements'!K31</f>
        <v>1.3922655653851457</v>
      </c>
      <c r="L69" s="303">
        <f ca="1">+('Financial Statements'!L61+'Financial Statements'!L62+'Financial Statements'!L56)/'Financial Statements'!L31</f>
        <v>0.82991534912537912</v>
      </c>
      <c r="M69" s="303">
        <f ca="1">+('Financial Statements'!M61+'Financial Statements'!M62+'Financial Statements'!M56)/'Financial Statements'!M31</f>
        <v>0.12988508086952347</v>
      </c>
    </row>
    <row r="70" spans="2:13" ht="15" customHeight="1" x14ac:dyDescent="0.2">
      <c r="C70" s="143"/>
      <c r="D70" s="273"/>
      <c r="E70" s="346"/>
    </row>
    <row r="71" spans="2:13" ht="15" customHeight="1" x14ac:dyDescent="0.2">
      <c r="D71" s="140"/>
      <c r="E71" s="365"/>
    </row>
    <row r="72" spans="2:13" ht="15" customHeight="1" x14ac:dyDescent="0.2">
      <c r="D72" s="140"/>
      <c r="E72" s="346"/>
    </row>
    <row r="73" spans="2:13" ht="15" customHeight="1" x14ac:dyDescent="0.2">
      <c r="C73" s="145"/>
      <c r="D73" s="145"/>
      <c r="E73" s="365"/>
    </row>
    <row r="74" spans="2:13" ht="15" customHeight="1" x14ac:dyDescent="0.2">
      <c r="C74" s="145"/>
      <c r="D74" s="145"/>
      <c r="E74" s="365"/>
    </row>
    <row r="75" spans="2:13" ht="15" customHeight="1" x14ac:dyDescent="0.2">
      <c r="E75" s="346"/>
    </row>
    <row r="76" spans="2:13" ht="15" customHeight="1" x14ac:dyDescent="0.2">
      <c r="E76" s="346"/>
    </row>
    <row r="77" spans="2:13" ht="15" customHeight="1" x14ac:dyDescent="0.2">
      <c r="E77" s="346"/>
    </row>
    <row r="78" spans="2:13" ht="15" customHeight="1" x14ac:dyDescent="0.2">
      <c r="E78" s="346"/>
    </row>
    <row r="79" spans="2:13" ht="15" customHeight="1" x14ac:dyDescent="0.2">
      <c r="E79" s="346"/>
    </row>
    <row r="80" spans="2:13" ht="15" customHeight="1" x14ac:dyDescent="0.2">
      <c r="E80" s="346"/>
    </row>
    <row r="81" spans="5:5" ht="15" customHeight="1" x14ac:dyDescent="0.2">
      <c r="E81" s="346"/>
    </row>
    <row r="82" spans="5:5" ht="15" customHeight="1" x14ac:dyDescent="0.2">
      <c r="E82" s="346"/>
    </row>
    <row r="83" spans="5:5" ht="15" customHeight="1" x14ac:dyDescent="0.2">
      <c r="E83" s="346"/>
    </row>
    <row r="84" spans="5:5" ht="15" customHeight="1" x14ac:dyDescent="0.2">
      <c r="E84" s="346"/>
    </row>
    <row r="85" spans="5:5" ht="15" customHeight="1" x14ac:dyDescent="0.2">
      <c r="E85" s="346"/>
    </row>
    <row r="86" spans="5:5" ht="15" customHeight="1" x14ac:dyDescent="0.2">
      <c r="E86" s="346"/>
    </row>
    <row r="87" spans="5:5" ht="15" customHeight="1" x14ac:dyDescent="0.2">
      <c r="E87" s="346"/>
    </row>
    <row r="88" spans="5:5" ht="15" customHeight="1" x14ac:dyDescent="0.2">
      <c r="E88" s="346"/>
    </row>
    <row r="89" spans="5:5" ht="15" customHeight="1" x14ac:dyDescent="0.2">
      <c r="E89" s="346"/>
    </row>
    <row r="90" spans="5:5" ht="15" customHeight="1" x14ac:dyDescent="0.2">
      <c r="E90" s="346"/>
    </row>
    <row r="91" spans="5:5" ht="15" customHeight="1" x14ac:dyDescent="0.2">
      <c r="E91" s="346"/>
    </row>
    <row r="92" spans="5:5" ht="15" customHeight="1" x14ac:dyDescent="0.2">
      <c r="E92" s="346"/>
    </row>
    <row r="93" spans="5:5" ht="15" customHeight="1" x14ac:dyDescent="0.2">
      <c r="E93" s="346"/>
    </row>
    <row r="94" spans="5:5" ht="15" customHeight="1" x14ac:dyDescent="0.2">
      <c r="E94" s="346"/>
    </row>
    <row r="95" spans="5:5" ht="15" customHeight="1" x14ac:dyDescent="0.2">
      <c r="E95" s="346"/>
    </row>
    <row r="96" spans="5:5" ht="15" customHeight="1" x14ac:dyDescent="0.2">
      <c r="E96" s="346"/>
    </row>
    <row r="97" spans="5:5" ht="15" customHeight="1" x14ac:dyDescent="0.2">
      <c r="E97" s="346"/>
    </row>
    <row r="98" spans="5:5" ht="15" customHeight="1" x14ac:dyDescent="0.2">
      <c r="E98" s="346"/>
    </row>
    <row r="99" spans="5:5" ht="15" customHeight="1" x14ac:dyDescent="0.2">
      <c r="E99" s="346"/>
    </row>
    <row r="100" spans="5:5" ht="15" customHeight="1" x14ac:dyDescent="0.2">
      <c r="E100" s="346"/>
    </row>
    <row r="101" spans="5:5" ht="15" customHeight="1" x14ac:dyDescent="0.2">
      <c r="E101" s="346"/>
    </row>
    <row r="102" spans="5:5" ht="15" customHeight="1" x14ac:dyDescent="0.2">
      <c r="E102" s="346"/>
    </row>
    <row r="103" spans="5:5" ht="15" customHeight="1" x14ac:dyDescent="0.2">
      <c r="E103" s="346"/>
    </row>
    <row r="104" spans="5:5" ht="15" customHeight="1" x14ac:dyDescent="0.2">
      <c r="E104" s="346"/>
    </row>
    <row r="105" spans="5:5" ht="15" customHeight="1" x14ac:dyDescent="0.2">
      <c r="E105" s="346"/>
    </row>
    <row r="106" spans="5:5" ht="15" customHeight="1" x14ac:dyDescent="0.2">
      <c r="E106" s="346"/>
    </row>
    <row r="107" spans="5:5" ht="15" customHeight="1" x14ac:dyDescent="0.2">
      <c r="E107" s="346"/>
    </row>
    <row r="108" spans="5:5" ht="15" customHeight="1" x14ac:dyDescent="0.2">
      <c r="E108" s="346"/>
    </row>
    <row r="109" spans="5:5" ht="15" customHeight="1" x14ac:dyDescent="0.2">
      <c r="E109" s="346"/>
    </row>
    <row r="110" spans="5:5" ht="15" customHeight="1" x14ac:dyDescent="0.2">
      <c r="E110" s="346"/>
    </row>
    <row r="111" spans="5:5" ht="15" customHeight="1" x14ac:dyDescent="0.2">
      <c r="E111" s="346"/>
    </row>
    <row r="112" spans="5:5" ht="15" customHeight="1" x14ac:dyDescent="0.2">
      <c r="E112" s="346"/>
    </row>
    <row r="113" spans="5:5" ht="15" customHeight="1" x14ac:dyDescent="0.2">
      <c r="E113" s="346"/>
    </row>
    <row r="114" spans="5:5" ht="15" customHeight="1" x14ac:dyDescent="0.2">
      <c r="E114" s="346"/>
    </row>
    <row r="115" spans="5:5" ht="15" customHeight="1" x14ac:dyDescent="0.2">
      <c r="E115" s="346"/>
    </row>
    <row r="116" spans="5:5" ht="15" customHeight="1" x14ac:dyDescent="0.2">
      <c r="E116" s="346"/>
    </row>
    <row r="117" spans="5:5" ht="15" customHeight="1" x14ac:dyDescent="0.2">
      <c r="E117" s="346"/>
    </row>
    <row r="118" spans="5:5" ht="15" customHeight="1" x14ac:dyDescent="0.2">
      <c r="E118" s="346"/>
    </row>
    <row r="119" spans="5:5" ht="15" customHeight="1" x14ac:dyDescent="0.2">
      <c r="E119" s="346"/>
    </row>
    <row r="120" spans="5:5" ht="15" customHeight="1" x14ac:dyDescent="0.2">
      <c r="E120" s="346"/>
    </row>
    <row r="121" spans="5:5" ht="15" customHeight="1" x14ac:dyDescent="0.2">
      <c r="E121" s="346"/>
    </row>
    <row r="122" spans="5:5" ht="15" customHeight="1" x14ac:dyDescent="0.2">
      <c r="E122" s="346"/>
    </row>
    <row r="123" spans="5:5" ht="15" customHeight="1" x14ac:dyDescent="0.2">
      <c r="E123" s="346"/>
    </row>
    <row r="124" spans="5:5" ht="15" customHeight="1" x14ac:dyDescent="0.2">
      <c r="E124" s="346"/>
    </row>
    <row r="125" spans="5:5" ht="15" customHeight="1" x14ac:dyDescent="0.2">
      <c r="E125" s="346"/>
    </row>
    <row r="126" spans="5:5" ht="15" customHeight="1" x14ac:dyDescent="0.2">
      <c r="E126" s="346"/>
    </row>
    <row r="127" spans="5:5" ht="15" customHeight="1" x14ac:dyDescent="0.2">
      <c r="E127" s="346"/>
    </row>
    <row r="128" spans="5:5" ht="15" customHeight="1" x14ac:dyDescent="0.2">
      <c r="E128" s="346"/>
    </row>
    <row r="129" spans="5:5" ht="15" customHeight="1" x14ac:dyDescent="0.2">
      <c r="E129" s="346"/>
    </row>
    <row r="130" spans="5:5" ht="15" customHeight="1" x14ac:dyDescent="0.2">
      <c r="E130" s="346"/>
    </row>
    <row r="131" spans="5:5" ht="15" customHeight="1" x14ac:dyDescent="0.2">
      <c r="E131" s="346"/>
    </row>
    <row r="132" spans="5:5" ht="15" customHeight="1" x14ac:dyDescent="0.2">
      <c r="E132" s="346"/>
    </row>
    <row r="133" spans="5:5" ht="15" customHeight="1" x14ac:dyDescent="0.2">
      <c r="E133" s="346"/>
    </row>
    <row r="134" spans="5:5" ht="15" customHeight="1" x14ac:dyDescent="0.2">
      <c r="E134" s="346"/>
    </row>
    <row r="135" spans="5:5" ht="15" customHeight="1" x14ac:dyDescent="0.2">
      <c r="E135" s="346"/>
    </row>
    <row r="136" spans="5:5" ht="15" customHeight="1" x14ac:dyDescent="0.2">
      <c r="E136" s="346"/>
    </row>
    <row r="137" spans="5:5" ht="15" customHeight="1" x14ac:dyDescent="0.2">
      <c r="E137" s="346"/>
    </row>
    <row r="138" spans="5:5" ht="15" customHeight="1" x14ac:dyDescent="0.2">
      <c r="E138" s="346"/>
    </row>
    <row r="139" spans="5:5" ht="15" customHeight="1" x14ac:dyDescent="0.2">
      <c r="E139" s="346"/>
    </row>
    <row r="140" spans="5:5" ht="15" customHeight="1" x14ac:dyDescent="0.2">
      <c r="E140" s="346"/>
    </row>
    <row r="141" spans="5:5" ht="15" customHeight="1" x14ac:dyDescent="0.2">
      <c r="E141" s="346"/>
    </row>
    <row r="142" spans="5:5" ht="15" customHeight="1" x14ac:dyDescent="0.2">
      <c r="E142" s="346"/>
    </row>
    <row r="143" spans="5:5" ht="15" customHeight="1" x14ac:dyDescent="0.2">
      <c r="E143" s="346"/>
    </row>
    <row r="144" spans="5:5" ht="15" customHeight="1" x14ac:dyDescent="0.2">
      <c r="E144" s="346"/>
    </row>
    <row r="145" spans="5:5" ht="15" customHeight="1" x14ac:dyDescent="0.2">
      <c r="E145" s="346"/>
    </row>
    <row r="146" spans="5:5" ht="15" customHeight="1" x14ac:dyDescent="0.2">
      <c r="E146" s="346"/>
    </row>
    <row r="147" spans="5:5" ht="15" customHeight="1" x14ac:dyDescent="0.2">
      <c r="E147" s="346"/>
    </row>
    <row r="148" spans="5:5" ht="15" customHeight="1" x14ac:dyDescent="0.2">
      <c r="E148" s="346"/>
    </row>
    <row r="149" spans="5:5" ht="15" customHeight="1" x14ac:dyDescent="0.2">
      <c r="E149" s="346"/>
    </row>
    <row r="150" spans="5:5" ht="15" customHeight="1" x14ac:dyDescent="0.2">
      <c r="E150" s="346"/>
    </row>
    <row r="151" spans="5:5" ht="15" customHeight="1" x14ac:dyDescent="0.2">
      <c r="E151" s="346"/>
    </row>
    <row r="152" spans="5:5" ht="15" customHeight="1" x14ac:dyDescent="0.2">
      <c r="E152" s="346"/>
    </row>
    <row r="153" spans="5:5" ht="15" customHeight="1" x14ac:dyDescent="0.2">
      <c r="E153" s="346"/>
    </row>
    <row r="154" spans="5:5" ht="15" customHeight="1" x14ac:dyDescent="0.2">
      <c r="E154" s="346"/>
    </row>
    <row r="155" spans="5:5" ht="15" customHeight="1" x14ac:dyDescent="0.2">
      <c r="E155" s="346"/>
    </row>
    <row r="156" spans="5:5" ht="15" customHeight="1" x14ac:dyDescent="0.2">
      <c r="E156" s="346"/>
    </row>
    <row r="157" spans="5:5" ht="15" customHeight="1" x14ac:dyDescent="0.2">
      <c r="E157" s="346"/>
    </row>
    <row r="158" spans="5:5" ht="15" customHeight="1" x14ac:dyDescent="0.2">
      <c r="E158" s="346"/>
    </row>
    <row r="159" spans="5:5" ht="15" customHeight="1" x14ac:dyDescent="0.2">
      <c r="E159" s="346"/>
    </row>
    <row r="160" spans="5:5" ht="15" customHeight="1" x14ac:dyDescent="0.2">
      <c r="E160" s="346"/>
    </row>
    <row r="161" spans="5:5" ht="15" customHeight="1" x14ac:dyDescent="0.2">
      <c r="E161" s="346"/>
    </row>
    <row r="162" spans="5:5" ht="15" customHeight="1" x14ac:dyDescent="0.2">
      <c r="E162" s="346"/>
    </row>
    <row r="163" spans="5:5" ht="15" customHeight="1" x14ac:dyDescent="0.2">
      <c r="E163" s="346"/>
    </row>
    <row r="164" spans="5:5" ht="15" customHeight="1" x14ac:dyDescent="0.2">
      <c r="E164" s="346"/>
    </row>
    <row r="165" spans="5:5" ht="15" customHeight="1" x14ac:dyDescent="0.2">
      <c r="E165" s="346"/>
    </row>
    <row r="166" spans="5:5" ht="15" customHeight="1" x14ac:dyDescent="0.2">
      <c r="E166" s="346"/>
    </row>
    <row r="167" spans="5:5" ht="15" customHeight="1" x14ac:dyDescent="0.2">
      <c r="E167" s="346"/>
    </row>
    <row r="168" spans="5:5" ht="15" customHeight="1" x14ac:dyDescent="0.2"/>
    <row r="169" spans="5:5" ht="15" customHeight="1" x14ac:dyDescent="0.2"/>
    <row r="170" spans="5:5" ht="15" customHeight="1" x14ac:dyDescent="0.2"/>
    <row r="171" spans="5:5" ht="15" customHeight="1" x14ac:dyDescent="0.2"/>
    <row r="172" spans="5:5" ht="15" customHeight="1" x14ac:dyDescent="0.2"/>
    <row r="173" spans="5:5" ht="15" customHeight="1" x14ac:dyDescent="0.2"/>
    <row r="174" spans="5:5" ht="15" customHeight="1" x14ac:dyDescent="0.2"/>
    <row r="175" spans="5:5" ht="15" customHeight="1" x14ac:dyDescent="0.2"/>
    <row r="176" spans="5:5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52DB-7535-4EB8-8A65-F024565AC2DD}">
  <dimension ref="A1:Q198"/>
  <sheetViews>
    <sheetView showGridLines="0" zoomScaleNormal="100" workbookViewId="0">
      <pane xSplit="8" ySplit="8" topLeftCell="I9" activePane="bottomRight" state="frozen"/>
      <selection activeCell="D31" sqref="D31"/>
      <selection pane="topRight" activeCell="D31" sqref="D31"/>
      <selection pane="bottomLeft" activeCell="D31" sqref="D31"/>
      <selection pane="bottomRight" activeCell="M44" sqref="M44"/>
    </sheetView>
  </sheetViews>
  <sheetFormatPr defaultColWidth="10.85546875" defaultRowHeight="12.75" outlineLevelCol="1" x14ac:dyDescent="0.2"/>
  <cols>
    <col min="1" max="1" width="1.7109375" style="29" bestFit="1" customWidth="1"/>
    <col min="2" max="2" width="26.140625" style="29" customWidth="1"/>
    <col min="3" max="3" width="10.5703125" style="29" customWidth="1"/>
    <col min="4" max="4" width="4.28515625" style="29" customWidth="1"/>
    <col min="5" max="5" width="8.140625" style="192" customWidth="1"/>
    <col min="6" max="6" width="16.85546875" style="29" customWidth="1"/>
    <col min="7" max="8" width="15.85546875" style="29" customWidth="1"/>
    <col min="9" max="13" width="16" style="29" bestFit="1" customWidth="1"/>
    <col min="14" max="14" width="3.42578125" style="29" customWidth="1"/>
    <col min="15" max="15" width="7.85546875" style="30" customWidth="1" outlineLevel="1"/>
    <col min="16" max="16" width="5" style="31" customWidth="1"/>
    <col min="17" max="17" width="10.85546875" style="29"/>
    <col min="18" max="18" width="12.42578125" style="29" bestFit="1" customWidth="1"/>
    <col min="19" max="19" width="11.42578125" style="29" bestFit="1" customWidth="1"/>
    <col min="20" max="16384" width="10.85546875" style="29"/>
  </cols>
  <sheetData>
    <row r="1" spans="1:17" x14ac:dyDescent="0.2">
      <c r="F1" s="245"/>
      <c r="G1" s="245"/>
      <c r="H1" s="245"/>
      <c r="I1" s="245"/>
      <c r="J1" s="245"/>
      <c r="K1" s="245"/>
      <c r="L1" s="245"/>
      <c r="M1" s="245"/>
      <c r="Q1" s="32"/>
    </row>
    <row r="2" spans="1:17" s="33" customFormat="1" ht="15" customHeight="1" x14ac:dyDescent="0.2">
      <c r="B2" s="164" t="s">
        <v>211</v>
      </c>
      <c r="C2" s="164"/>
      <c r="D2" s="164"/>
      <c r="E2" s="189"/>
      <c r="F2" s="189"/>
      <c r="G2" s="164"/>
      <c r="H2" s="164"/>
      <c r="I2" s="165"/>
      <c r="J2" s="165"/>
      <c r="K2" s="165"/>
      <c r="L2" s="165"/>
      <c r="M2" s="165"/>
      <c r="O2" s="36"/>
      <c r="Q2" s="32"/>
    </row>
    <row r="3" spans="1:17" s="33" customFormat="1" ht="15" customHeight="1" x14ac:dyDescent="0.2">
      <c r="B3" s="164" t="s">
        <v>128</v>
      </c>
      <c r="C3" s="164"/>
      <c r="D3" s="164"/>
      <c r="E3" s="189"/>
      <c r="F3" s="189"/>
      <c r="G3" s="164"/>
      <c r="H3" s="164"/>
      <c r="I3" s="165"/>
      <c r="J3" s="165"/>
      <c r="K3" s="165"/>
      <c r="L3" s="165"/>
      <c r="M3" s="165"/>
      <c r="O3" s="36"/>
      <c r="Q3" s="32"/>
    </row>
    <row r="4" spans="1:17" s="33" customFormat="1" ht="15" customHeight="1" x14ac:dyDescent="0.2">
      <c r="B4" s="34"/>
      <c r="C4" s="35"/>
      <c r="D4" s="35"/>
      <c r="E4" s="379"/>
      <c r="F4" s="35"/>
      <c r="G4" s="35"/>
      <c r="H4" s="35"/>
      <c r="I4" s="35"/>
      <c r="J4" s="35"/>
      <c r="K4" s="35"/>
      <c r="L4" s="35"/>
      <c r="M4" s="35"/>
      <c r="O4" s="36"/>
      <c r="Q4" s="32"/>
    </row>
    <row r="5" spans="1:17" s="2" customFormat="1" ht="15" customHeight="1" x14ac:dyDescent="0.2">
      <c r="C5" s="34"/>
      <c r="D5" s="34"/>
      <c r="E5" s="380"/>
      <c r="F5" s="38" t="s">
        <v>42</v>
      </c>
      <c r="G5" s="38"/>
      <c r="H5" s="39"/>
      <c r="I5" s="38" t="s">
        <v>43</v>
      </c>
      <c r="J5" s="38"/>
      <c r="K5" s="38"/>
      <c r="L5" s="38"/>
      <c r="M5" s="39"/>
      <c r="O5" s="40"/>
      <c r="Q5" s="32"/>
    </row>
    <row r="6" spans="1:17" s="2" customFormat="1" ht="15" customHeight="1" x14ac:dyDescent="0.2">
      <c r="B6" s="41"/>
      <c r="E6" s="192"/>
      <c r="F6" s="403">
        <f>+Assumptions!F8</f>
        <v>44926</v>
      </c>
      <c r="G6" s="403">
        <f>+Assumptions!G8</f>
        <v>45291</v>
      </c>
      <c r="H6" s="403">
        <f>+Assumptions!H8</f>
        <v>45657</v>
      </c>
      <c r="I6" s="403">
        <f>+Assumptions!I8</f>
        <v>46022</v>
      </c>
      <c r="J6" s="403">
        <f>+Assumptions!J8</f>
        <v>46387</v>
      </c>
      <c r="K6" s="403">
        <f>+Assumptions!K8</f>
        <v>46752</v>
      </c>
      <c r="L6" s="403">
        <f>+Assumptions!L8</f>
        <v>47118</v>
      </c>
      <c r="M6" s="403">
        <f>+Assumptions!M8</f>
        <v>47483</v>
      </c>
      <c r="O6" s="40"/>
      <c r="Q6" s="32"/>
    </row>
    <row r="7" spans="1:17" s="2" customFormat="1" ht="15" customHeight="1" x14ac:dyDescent="0.2">
      <c r="B7" s="41"/>
      <c r="E7" s="192"/>
      <c r="F7" s="42" t="str">
        <f>"FY"&amp;YEAR(F6)&amp;"A"</f>
        <v>FY2022A</v>
      </c>
      <c r="G7" s="42" t="str">
        <f>"FY"&amp;YEAR(G6)&amp;"A"</f>
        <v>FY2023A</v>
      </c>
      <c r="H7" s="43" t="str">
        <f>"FY"&amp;YEAR(H6)&amp;"PF"</f>
        <v>FY2024PF</v>
      </c>
      <c r="I7" s="44" t="str">
        <f>"FY"&amp;YEAR(I6)&amp;"F"</f>
        <v>FY2025F</v>
      </c>
      <c r="J7" s="44" t="str">
        <f>"FY"&amp;YEAR(J6)&amp;"F"</f>
        <v>FY2026F</v>
      </c>
      <c r="K7" s="44" t="str">
        <f>"FY"&amp;YEAR(K6)&amp;"F"</f>
        <v>FY2027F</v>
      </c>
      <c r="L7" s="44" t="str">
        <f>"FY"&amp;YEAR(L6)&amp;"F"</f>
        <v>FY2028F</v>
      </c>
      <c r="M7" s="44" t="str">
        <f>"FY"&amp;YEAR(M6)&amp;"F"</f>
        <v>FY2029F</v>
      </c>
      <c r="O7" s="40"/>
      <c r="Q7" s="32"/>
    </row>
    <row r="8" spans="1:17" ht="15" customHeight="1" x14ac:dyDescent="0.2">
      <c r="B8" s="41"/>
      <c r="C8" s="2"/>
      <c r="D8" s="2"/>
      <c r="F8" s="2"/>
      <c r="G8" s="2"/>
      <c r="H8" s="2"/>
      <c r="I8" s="2"/>
      <c r="J8" s="2"/>
      <c r="K8" s="2"/>
      <c r="L8" s="2"/>
      <c r="M8" s="2"/>
      <c r="P8" s="29"/>
      <c r="Q8" s="32"/>
    </row>
    <row r="9" spans="1:17" ht="15" customHeight="1" x14ac:dyDescent="0.2"/>
    <row r="10" spans="1:17" s="32" customFormat="1" ht="15" customHeight="1" x14ac:dyDescent="0.2">
      <c r="A10" s="31" t="s">
        <v>44</v>
      </c>
      <c r="B10" s="68" t="s">
        <v>147</v>
      </c>
      <c r="C10" s="94"/>
      <c r="D10" s="94"/>
      <c r="E10" s="366"/>
      <c r="F10" s="110"/>
      <c r="G10" s="110"/>
      <c r="H10" s="111"/>
      <c r="I10" s="95"/>
      <c r="J10" s="95"/>
      <c r="K10" s="95"/>
      <c r="L10" s="95"/>
      <c r="M10" s="95"/>
      <c r="O10" s="37"/>
    </row>
    <row r="11" spans="1:17" s="31" customFormat="1" ht="15" customHeight="1" x14ac:dyDescent="0.2">
      <c r="E11" s="352"/>
    </row>
    <row r="12" spans="1:17" s="32" customFormat="1" ht="15" customHeight="1" x14ac:dyDescent="0.2">
      <c r="A12" s="31"/>
      <c r="B12" s="112" t="s">
        <v>76</v>
      </c>
      <c r="C12" s="113"/>
      <c r="D12" s="114"/>
      <c r="E12" s="374"/>
      <c r="F12" s="115"/>
      <c r="G12" s="115"/>
      <c r="H12" s="115"/>
      <c r="I12" s="115"/>
      <c r="J12" s="115"/>
      <c r="K12" s="115"/>
      <c r="L12" s="115"/>
      <c r="M12" s="115"/>
    </row>
    <row r="13" spans="1:17" ht="15" customHeight="1" x14ac:dyDescent="0.2">
      <c r="B13" s="116" t="s">
        <v>77</v>
      </c>
      <c r="C13" s="113"/>
      <c r="D13" s="117"/>
      <c r="E13" s="376" t="s">
        <v>142</v>
      </c>
      <c r="F13" s="252">
        <v>543</v>
      </c>
      <c r="G13" s="118">
        <f t="shared" ref="G13:M13" si="0">+F16</f>
        <v>439.62428999999997</v>
      </c>
      <c r="H13" s="118">
        <f t="shared" si="0"/>
        <v>359.51786999999996</v>
      </c>
      <c r="I13" s="118">
        <f t="shared" si="0"/>
        <v>359.5178699999999</v>
      </c>
      <c r="J13" s="118">
        <f t="shared" si="0"/>
        <v>1407.7277144786003</v>
      </c>
      <c r="K13" s="118">
        <f t="shared" si="0"/>
        <v>2238.8736246869726</v>
      </c>
      <c r="L13" s="118">
        <f t="shared" si="0"/>
        <v>4318.7293219397125</v>
      </c>
      <c r="M13" s="118">
        <f t="shared" si="0"/>
        <v>4337.3235019777067</v>
      </c>
      <c r="N13" s="32"/>
    </row>
    <row r="14" spans="1:17" ht="15" customHeight="1" x14ac:dyDescent="0.2">
      <c r="B14" s="116" t="s">
        <v>182</v>
      </c>
      <c r="C14" s="113"/>
      <c r="D14" s="117"/>
      <c r="E14" s="376" t="s">
        <v>142</v>
      </c>
      <c r="F14" s="118">
        <f>+F23</f>
        <v>0</v>
      </c>
      <c r="G14" s="118">
        <f>+G23</f>
        <v>2.305909999999983</v>
      </c>
      <c r="H14" s="118">
        <f>+H23</f>
        <v>82.41232999999994</v>
      </c>
      <c r="I14" s="118">
        <f>I21+I22</f>
        <v>1280.1296211184003</v>
      </c>
      <c r="J14" s="118">
        <f>J21+J22</f>
        <v>1214.9322135407683</v>
      </c>
      <c r="K14" s="118">
        <f>K21+K22</f>
        <v>2815.5908578115836</v>
      </c>
      <c r="L14" s="118">
        <f>L21+L22</f>
        <v>862.09067496781529</v>
      </c>
      <c r="M14" s="118">
        <f>M21+M22</f>
        <v>916.99588846717165</v>
      </c>
      <c r="N14" s="32"/>
    </row>
    <row r="15" spans="1:17" ht="15" customHeight="1" x14ac:dyDescent="0.2">
      <c r="B15" s="119" t="s">
        <v>183</v>
      </c>
      <c r="C15" s="120"/>
      <c r="D15" s="121"/>
      <c r="E15" s="381" t="s">
        <v>142</v>
      </c>
      <c r="F15" s="256">
        <f>+'Financial Statements'!F35</f>
        <v>-103.37571</v>
      </c>
      <c r="G15" s="256">
        <f>+'Financial Statements'!G35</f>
        <v>-82.412329999999997</v>
      </c>
      <c r="H15" s="256">
        <f>+'Financial Statements'!H35</f>
        <v>-82.412329999999997</v>
      </c>
      <c r="I15" s="122">
        <f>-I32+I37</f>
        <v>-231.91977663980003</v>
      </c>
      <c r="J15" s="122">
        <f>-J32+J37</f>
        <v>-383.78630333239607</v>
      </c>
      <c r="K15" s="122">
        <f>-K32+K37</f>
        <v>-735.73516055884397</v>
      </c>
      <c r="L15" s="122">
        <f>-L32+L37</f>
        <v>-843.49649492982098</v>
      </c>
      <c r="M15" s="122">
        <f>-M32+M37</f>
        <v>-886.21740698821736</v>
      </c>
      <c r="N15" s="32"/>
    </row>
    <row r="16" spans="1:17" ht="15" customHeight="1" x14ac:dyDescent="0.2">
      <c r="B16" s="123" t="s">
        <v>78</v>
      </c>
      <c r="C16" s="124"/>
      <c r="D16" s="125"/>
      <c r="E16" s="375" t="s">
        <v>142</v>
      </c>
      <c r="F16" s="125">
        <f t="shared" ref="F16:M16" si="1">+SUM(F13:F15)</f>
        <v>439.62428999999997</v>
      </c>
      <c r="G16" s="125">
        <f t="shared" si="1"/>
        <v>359.51786999999996</v>
      </c>
      <c r="H16" s="125">
        <f t="shared" si="1"/>
        <v>359.5178699999999</v>
      </c>
      <c r="I16" s="125">
        <f t="shared" si="1"/>
        <v>1407.7277144786003</v>
      </c>
      <c r="J16" s="125">
        <f t="shared" si="1"/>
        <v>2238.8736246869726</v>
      </c>
      <c r="K16" s="125">
        <f t="shared" si="1"/>
        <v>4318.7293219397125</v>
      </c>
      <c r="L16" s="125">
        <f t="shared" si="1"/>
        <v>4337.3235019777067</v>
      </c>
      <c r="M16" s="125">
        <f t="shared" si="1"/>
        <v>4368.1019834566605</v>
      </c>
      <c r="N16" s="32"/>
    </row>
    <row r="17" spans="2:17" ht="15" customHeight="1" x14ac:dyDescent="0.2">
      <c r="B17" s="250" t="s">
        <v>184</v>
      </c>
      <c r="C17" s="32"/>
      <c r="D17" s="96"/>
      <c r="E17" s="382" t="s">
        <v>0</v>
      </c>
      <c r="F17" s="253">
        <f t="shared" ref="F17:M17" si="2">-IFERROR(+F15/F14,0)</f>
        <v>0</v>
      </c>
      <c r="G17" s="253">
        <f t="shared" si="2"/>
        <v>35.73961256076803</v>
      </c>
      <c r="H17" s="253">
        <f t="shared" si="2"/>
        <v>1.0000000000000007</v>
      </c>
      <c r="I17" s="253">
        <f t="shared" si="2"/>
        <v>0.18116897915164293</v>
      </c>
      <c r="J17" s="253">
        <f t="shared" si="2"/>
        <v>0.31589112466933345</v>
      </c>
      <c r="K17" s="253">
        <f t="shared" si="2"/>
        <v>0.26130755415603735</v>
      </c>
      <c r="L17" s="253">
        <f t="shared" si="2"/>
        <v>0.97843129431983644</v>
      </c>
      <c r="M17" s="253">
        <f t="shared" si="2"/>
        <v>0.96643552946523803</v>
      </c>
      <c r="N17" s="32"/>
    </row>
    <row r="18" spans="2:17" s="32" customFormat="1" ht="15" customHeight="1" x14ac:dyDescent="0.25">
      <c r="B18" s="46"/>
      <c r="D18" s="96"/>
      <c r="E18" s="382"/>
      <c r="F18" s="96"/>
      <c r="G18" s="96"/>
      <c r="H18" s="96"/>
      <c r="I18" s="100"/>
      <c r="J18" s="100"/>
      <c r="K18" s="100"/>
      <c r="L18" s="100"/>
      <c r="M18" s="101"/>
      <c r="O18" s="37"/>
      <c r="Q18" s="93"/>
    </row>
    <row r="19" spans="2:17" ht="15" customHeight="1" x14ac:dyDescent="0.2">
      <c r="B19" s="112" t="s">
        <v>79</v>
      </c>
      <c r="C19" s="113"/>
      <c r="D19" s="118"/>
      <c r="E19" s="376"/>
      <c r="F19" s="118"/>
      <c r="G19" s="118"/>
      <c r="H19" s="118"/>
      <c r="I19" s="118"/>
      <c r="J19" s="118"/>
      <c r="K19" s="118"/>
      <c r="L19" s="118"/>
      <c r="M19" s="118"/>
      <c r="N19" s="32"/>
    </row>
    <row r="20" spans="2:17" ht="15" customHeight="1" x14ac:dyDescent="0.2">
      <c r="B20" s="126" t="s">
        <v>53</v>
      </c>
      <c r="C20" s="113"/>
      <c r="D20" s="118"/>
      <c r="E20" s="376" t="s">
        <v>142</v>
      </c>
      <c r="F20" s="254">
        <f>+'Financial Statements'!F12</f>
        <v>30571.118161500002</v>
      </c>
      <c r="G20" s="254">
        <f>+'Financial Statements'!G12</f>
        <v>30347.6740035</v>
      </c>
      <c r="H20" s="254">
        <f>+'Financial Statements'!H12</f>
        <v>31378.902996000008</v>
      </c>
      <c r="I20" s="254">
        <f>+'Financial Statements'!I12</f>
        <v>34006.481055920012</v>
      </c>
      <c r="J20" s="254">
        <f>+'Financial Statements'!J12</f>
        <v>35746.610677038407</v>
      </c>
      <c r="K20" s="254">
        <f>+'Financial Statements'!K12</f>
        <v>40779.542890579178</v>
      </c>
      <c r="L20" s="254">
        <f>+'Financial Statements'!L12</f>
        <v>43104.533748390764</v>
      </c>
      <c r="M20" s="254">
        <f>+'Financial Statements'!M12</f>
        <v>45849.79442335858</v>
      </c>
      <c r="N20" s="32"/>
    </row>
    <row r="21" spans="2:17" ht="15" customHeight="1" x14ac:dyDescent="0.2">
      <c r="B21" s="127" t="s">
        <v>80</v>
      </c>
      <c r="C21" s="113"/>
      <c r="D21" s="118"/>
      <c r="E21" s="376" t="s">
        <v>142</v>
      </c>
      <c r="F21" s="255">
        <f>+Assumptions!F115</f>
        <v>0</v>
      </c>
      <c r="G21" s="255">
        <f>+Assumptions!G115</f>
        <v>2.305909999999983</v>
      </c>
      <c r="H21" s="255">
        <f>+Assumptions!H115</f>
        <v>82.41232999999994</v>
      </c>
      <c r="I21" s="255">
        <f>+Assumptions!I115</f>
        <v>680.12962111840022</v>
      </c>
      <c r="J21" s="255">
        <f>+Assumptions!J115</f>
        <v>714.9322135407682</v>
      </c>
      <c r="K21" s="255">
        <f>+Assumptions!K115</f>
        <v>815.59085781158353</v>
      </c>
      <c r="L21" s="255">
        <f>+Assumptions!L115</f>
        <v>862.09067496781529</v>
      </c>
      <c r="M21" s="255">
        <f>+Assumptions!M115</f>
        <v>916.99588846717165</v>
      </c>
      <c r="N21" s="32"/>
    </row>
    <row r="22" spans="2:17" ht="15" customHeight="1" x14ac:dyDescent="0.2">
      <c r="B22" s="126" t="s">
        <v>81</v>
      </c>
      <c r="C22" s="113"/>
      <c r="D22" s="118"/>
      <c r="E22" s="376" t="s">
        <v>142</v>
      </c>
      <c r="F22" s="255">
        <f>+Assumptions!F118</f>
        <v>0</v>
      </c>
      <c r="G22" s="255">
        <f>+Assumptions!G118</f>
        <v>0</v>
      </c>
      <c r="H22" s="255">
        <f>+Assumptions!H118</f>
        <v>0</v>
      </c>
      <c r="I22" s="255">
        <f>+Assumptions!I118</f>
        <v>600</v>
      </c>
      <c r="J22" s="255">
        <f>+Assumptions!J118</f>
        <v>500</v>
      </c>
      <c r="K22" s="255">
        <f>+Assumptions!K118</f>
        <v>2000</v>
      </c>
      <c r="L22" s="255">
        <f>+Assumptions!L118</f>
        <v>0</v>
      </c>
      <c r="M22" s="255">
        <f>+Assumptions!M118</f>
        <v>0</v>
      </c>
      <c r="N22" s="32"/>
    </row>
    <row r="23" spans="2:17" ht="15" customHeight="1" x14ac:dyDescent="0.2">
      <c r="B23" s="127" t="s">
        <v>82</v>
      </c>
      <c r="C23" s="113"/>
      <c r="D23" s="118"/>
      <c r="E23" s="376" t="s">
        <v>142</v>
      </c>
      <c r="F23" s="130">
        <f t="shared" ref="F23:M23" si="3">SUM(F21:F22)</f>
        <v>0</v>
      </c>
      <c r="G23" s="130">
        <f t="shared" si="3"/>
        <v>2.305909999999983</v>
      </c>
      <c r="H23" s="130">
        <f t="shared" si="3"/>
        <v>82.41232999999994</v>
      </c>
      <c r="I23" s="130">
        <f t="shared" si="3"/>
        <v>1280.1296211184003</v>
      </c>
      <c r="J23" s="130">
        <f t="shared" si="3"/>
        <v>1214.9322135407683</v>
      </c>
      <c r="K23" s="130">
        <f t="shared" si="3"/>
        <v>2815.5908578115836</v>
      </c>
      <c r="L23" s="130">
        <f t="shared" si="3"/>
        <v>862.09067496781529</v>
      </c>
      <c r="M23" s="130">
        <f t="shared" si="3"/>
        <v>916.99588846717165</v>
      </c>
      <c r="N23" s="32"/>
    </row>
    <row r="24" spans="2:17" ht="15" customHeight="1" x14ac:dyDescent="0.2">
      <c r="B24" s="116" t="s">
        <v>83</v>
      </c>
      <c r="C24" s="257">
        <v>8</v>
      </c>
      <c r="D24" s="118"/>
      <c r="E24" s="376" t="s">
        <v>156</v>
      </c>
      <c r="F24" s="129"/>
      <c r="G24" s="129"/>
      <c r="H24" s="128">
        <f t="shared" ref="H24:M24" si="4">+$C$24</f>
        <v>8</v>
      </c>
      <c r="I24" s="128">
        <f t="shared" si="4"/>
        <v>8</v>
      </c>
      <c r="J24" s="128">
        <f t="shared" si="4"/>
        <v>8</v>
      </c>
      <c r="K24" s="128">
        <f t="shared" si="4"/>
        <v>8</v>
      </c>
      <c r="L24" s="128">
        <f t="shared" si="4"/>
        <v>8</v>
      </c>
      <c r="M24" s="128">
        <f t="shared" si="4"/>
        <v>8</v>
      </c>
      <c r="N24" s="32"/>
    </row>
    <row r="25" spans="2:17" ht="15" customHeight="1" x14ac:dyDescent="0.2">
      <c r="B25" s="116"/>
      <c r="C25" s="113"/>
      <c r="D25" s="118"/>
      <c r="E25" s="376"/>
      <c r="F25" s="118"/>
      <c r="G25" s="118"/>
      <c r="H25" s="118"/>
      <c r="I25" s="118"/>
      <c r="J25" s="118"/>
      <c r="K25" s="118"/>
      <c r="L25" s="118"/>
      <c r="M25" s="118"/>
      <c r="N25" s="32"/>
    </row>
    <row r="26" spans="2:17" ht="15" customHeight="1" x14ac:dyDescent="0.2">
      <c r="B26" s="131" t="s">
        <v>84</v>
      </c>
      <c r="C26" s="113"/>
      <c r="D26" s="118"/>
      <c r="E26" s="376"/>
      <c r="F26" s="128"/>
      <c r="G26" s="128"/>
      <c r="H26" s="128"/>
      <c r="I26" s="128"/>
      <c r="J26" s="128"/>
      <c r="K26" s="128"/>
      <c r="L26" s="128"/>
      <c r="M26" s="128"/>
      <c r="N26" s="132" t="s">
        <v>16</v>
      </c>
    </row>
    <row r="27" spans="2:17" ht="15" customHeight="1" x14ac:dyDescent="0.2">
      <c r="B27" s="262" t="str">
        <f>+'Financial Statements'!I7</f>
        <v>FY2025F</v>
      </c>
      <c r="C27" s="113"/>
      <c r="D27" s="128"/>
      <c r="E27" s="377" t="s">
        <v>142</v>
      </c>
      <c r="F27" s="128"/>
      <c r="G27" s="128"/>
      <c r="H27" s="128"/>
      <c r="I27" s="128">
        <f>+MIN(MAX($I$23-SUM($H27:H$27),0),SLN($I$23,0,$I$24))</f>
        <v>160.01620263980004</v>
      </c>
      <c r="J27" s="128">
        <f>+MIN(MAX($I$23-SUM($H27:I$27),0),SLN($I$23,0,$I$24))</f>
        <v>160.01620263980004</v>
      </c>
      <c r="K27" s="128">
        <f>+MIN(MAX($I$23-SUM($H27:J$27),0),SLN($I$23,0,$I$24))</f>
        <v>160.01620263980004</v>
      </c>
      <c r="L27" s="128">
        <f>+MIN(MAX($I$23-SUM($H27:K$27),0),SLN($I$23,0,$I$24))</f>
        <v>160.01620263980004</v>
      </c>
      <c r="M27" s="128">
        <f>+MIN(MAX($I$23-SUM($H27:L$27),0),SLN($I$23,0,$I$24))</f>
        <v>160.01620263980004</v>
      </c>
      <c r="N27" s="133" t="str">
        <f>+IF(SUM($I27:$M27)&lt;=I23,"Ok","No")</f>
        <v>Ok</v>
      </c>
    </row>
    <row r="28" spans="2:17" ht="15" customHeight="1" x14ac:dyDescent="0.2">
      <c r="B28" s="262" t="str">
        <f>+'Financial Statements'!J7</f>
        <v>FY2026F</v>
      </c>
      <c r="C28" s="113"/>
      <c r="D28" s="128"/>
      <c r="E28" s="377" t="s">
        <v>142</v>
      </c>
      <c r="F28" s="128"/>
      <c r="G28" s="128"/>
      <c r="H28" s="128"/>
      <c r="I28" s="128"/>
      <c r="J28" s="128">
        <f>+MIN(MAX($J$23-SUM($I$28:I28),0),SLN($J$23,0,$J$24))</f>
        <v>151.86652669259604</v>
      </c>
      <c r="K28" s="128">
        <f>+MIN(MAX($J$23-SUM($I$28:J28),0),SLN($J$23,0,$J$24))</f>
        <v>151.86652669259604</v>
      </c>
      <c r="L28" s="128">
        <f>+MIN(MAX($J$23-SUM($I$28:K28),0),SLN($J$23,0,$J$24))</f>
        <v>151.86652669259604</v>
      </c>
      <c r="M28" s="128">
        <f>+MIN(MAX($J$23-SUM($I$28:L28),0),SLN($J$23,0,$J$24))</f>
        <v>151.86652669259604</v>
      </c>
      <c r="N28" s="133" t="str">
        <f>+IF(SUM($J28:$M28)&lt;=J23,"Ok","No")</f>
        <v>Ok</v>
      </c>
    </row>
    <row r="29" spans="2:17" ht="15" customHeight="1" x14ac:dyDescent="0.2">
      <c r="B29" s="262" t="str">
        <f>+'Financial Statements'!K7</f>
        <v>FY2027F</v>
      </c>
      <c r="C29" s="113"/>
      <c r="D29" s="128"/>
      <c r="E29" s="377" t="s">
        <v>142</v>
      </c>
      <c r="F29" s="128"/>
      <c r="G29" s="128"/>
      <c r="H29" s="128"/>
      <c r="I29" s="128"/>
      <c r="J29" s="128"/>
      <c r="K29" s="128">
        <f>+MIN(MAX($K$23-SUM($I$29:J29),0),SLN($K$23,0,$K$24))</f>
        <v>351.94885722644796</v>
      </c>
      <c r="L29" s="128">
        <f>+MIN(MAX($K$23-SUM($I$29:K29),0),SLN($K$23,0,$K$24))</f>
        <v>351.94885722644796</v>
      </c>
      <c r="M29" s="128">
        <f>+MIN(MAX($K$23-SUM($I$29:L29),0),SLN($K$23,0,$K$24))</f>
        <v>351.94885722644796</v>
      </c>
      <c r="N29" s="133" t="str">
        <f>+IF(SUM($I29:$M29)&lt;=K23,"Ok","No")</f>
        <v>Ok</v>
      </c>
    </row>
    <row r="30" spans="2:17" ht="15" customHeight="1" x14ac:dyDescent="0.2">
      <c r="B30" s="262" t="str">
        <f>+'Financial Statements'!L7</f>
        <v>FY2028F</v>
      </c>
      <c r="C30" s="113"/>
      <c r="D30" s="128"/>
      <c r="E30" s="377" t="s">
        <v>142</v>
      </c>
      <c r="F30" s="128"/>
      <c r="G30" s="128"/>
      <c r="H30" s="128"/>
      <c r="I30" s="128"/>
      <c r="J30" s="128"/>
      <c r="K30" s="128"/>
      <c r="L30" s="128">
        <f>+MIN(MAX($L$23-SUM($I$30:K30),0),SLN($L$23,0,$L$24))</f>
        <v>107.76133437097691</v>
      </c>
      <c r="M30" s="128">
        <f>+MIN(MAX($L$23-SUM($I$30:L30),0),SLN($L$23,0,$L$24))</f>
        <v>107.76133437097691</v>
      </c>
      <c r="N30" s="133" t="str">
        <f>+IF(SUM($I30:$M30)&lt;=L23,"Ok","No")</f>
        <v>Ok</v>
      </c>
    </row>
    <row r="31" spans="2:17" ht="15" customHeight="1" x14ac:dyDescent="0.2">
      <c r="B31" s="262" t="str">
        <f>+'Financial Statements'!M7</f>
        <v>FY2029F</v>
      </c>
      <c r="C31" s="113"/>
      <c r="D31" s="128"/>
      <c r="E31" s="377" t="s">
        <v>142</v>
      </c>
      <c r="F31" s="128"/>
      <c r="G31" s="128"/>
      <c r="H31" s="128"/>
      <c r="I31" s="128"/>
      <c r="J31" s="128"/>
      <c r="K31" s="128"/>
      <c r="L31" s="128"/>
      <c r="M31" s="128">
        <f>+MIN(MAX($M$23-SUM($I$31:L31),0),SLN($M$23,0,$M$24))</f>
        <v>114.62448605839646</v>
      </c>
      <c r="N31" s="133" t="str">
        <f>+IF(SUM($I31:$M31)&lt;=M23,"Ok","No")</f>
        <v>Ok</v>
      </c>
    </row>
    <row r="32" spans="2:17" ht="15" customHeight="1" x14ac:dyDescent="0.2">
      <c r="B32" s="123" t="s">
        <v>85</v>
      </c>
      <c r="C32" s="124"/>
      <c r="D32" s="134"/>
      <c r="E32" s="378" t="s">
        <v>142</v>
      </c>
      <c r="F32" s="134"/>
      <c r="G32" s="134"/>
      <c r="H32" s="134"/>
      <c r="I32" s="134">
        <f>SUM(I27:I31)</f>
        <v>160.01620263980004</v>
      </c>
      <c r="J32" s="134">
        <f>SUM(J27:J31)</f>
        <v>311.88272933239608</v>
      </c>
      <c r="K32" s="134">
        <f>SUM(K27:K31)</f>
        <v>663.83158655884404</v>
      </c>
      <c r="L32" s="134">
        <f>SUM(L27:L31)</f>
        <v>771.59292092982093</v>
      </c>
      <c r="M32" s="134">
        <f>SUM(M27:M31)</f>
        <v>886.21740698821736</v>
      </c>
      <c r="N32" s="32"/>
    </row>
    <row r="33" spans="2:14" ht="15" customHeight="1" x14ac:dyDescent="0.2">
      <c r="B33" s="116"/>
      <c r="C33" s="113"/>
      <c r="D33" s="128"/>
      <c r="E33" s="377"/>
      <c r="F33" s="128"/>
      <c r="G33" s="128"/>
      <c r="H33" s="128"/>
      <c r="I33" s="128"/>
      <c r="J33" s="128"/>
      <c r="K33" s="128"/>
      <c r="L33" s="128"/>
      <c r="M33" s="128"/>
      <c r="N33" s="32"/>
    </row>
    <row r="34" spans="2:14" ht="15" customHeight="1" x14ac:dyDescent="0.2">
      <c r="B34" s="116" t="s">
        <v>86</v>
      </c>
      <c r="C34" s="113"/>
      <c r="D34" s="128"/>
      <c r="E34" s="377"/>
      <c r="F34" s="128"/>
      <c r="G34" s="128"/>
      <c r="H34" s="128"/>
      <c r="I34" s="128"/>
      <c r="J34" s="128"/>
      <c r="K34" s="128"/>
      <c r="L34" s="128"/>
      <c r="M34" s="128"/>
      <c r="N34" s="32"/>
    </row>
    <row r="35" spans="2:14" ht="15" customHeight="1" x14ac:dyDescent="0.2">
      <c r="B35" s="116" t="s">
        <v>87</v>
      </c>
      <c r="C35" s="113"/>
      <c r="D35" s="128"/>
      <c r="E35" s="377" t="s">
        <v>156</v>
      </c>
      <c r="F35" s="129"/>
      <c r="G35" s="129"/>
      <c r="H35" s="129">
        <v>5</v>
      </c>
      <c r="I35" s="128"/>
      <c r="J35" s="128"/>
      <c r="K35" s="128"/>
      <c r="L35" s="128"/>
      <c r="M35" s="128"/>
      <c r="N35" s="14"/>
    </row>
    <row r="36" spans="2:14" ht="15" customHeight="1" x14ac:dyDescent="0.2">
      <c r="B36" s="116" t="s">
        <v>88</v>
      </c>
      <c r="C36" s="113"/>
      <c r="D36" s="128"/>
      <c r="E36" s="377" t="s">
        <v>142</v>
      </c>
      <c r="F36" s="128"/>
      <c r="G36" s="128"/>
      <c r="H36" s="128">
        <f>H13</f>
        <v>359.51786999999996</v>
      </c>
      <c r="I36" s="128">
        <f>H38</f>
        <v>287.61429599999997</v>
      </c>
      <c r="J36" s="128">
        <f>I38</f>
        <v>215.71072199999998</v>
      </c>
      <c r="K36" s="128">
        <f>J38</f>
        <v>143.80714799999998</v>
      </c>
      <c r="L36" s="128">
        <f>K38</f>
        <v>71.903573999999992</v>
      </c>
      <c r="M36" s="128">
        <f>L38</f>
        <v>0</v>
      </c>
      <c r="N36" s="32"/>
    </row>
    <row r="37" spans="2:14" ht="15" customHeight="1" x14ac:dyDescent="0.2">
      <c r="B37" s="116" t="s">
        <v>89</v>
      </c>
      <c r="C37" s="113"/>
      <c r="D37" s="128"/>
      <c r="E37" s="377" t="s">
        <v>142</v>
      </c>
      <c r="F37" s="128"/>
      <c r="G37" s="128"/>
      <c r="H37" s="128">
        <f>-H36/H35</f>
        <v>-71.903573999999992</v>
      </c>
      <c r="I37" s="128">
        <f>-MIN(I36,-$H$37)</f>
        <v>-71.903573999999992</v>
      </c>
      <c r="J37" s="128">
        <f>-MIN(J36,-$H$37)</f>
        <v>-71.903573999999992</v>
      </c>
      <c r="K37" s="128">
        <f>-MIN(K36,-$H$37)</f>
        <v>-71.903573999999992</v>
      </c>
      <c r="L37" s="128">
        <f>-MIN(L36,-$H$37)</f>
        <v>-71.903573999999992</v>
      </c>
      <c r="M37" s="128">
        <f>-MIN(M36,-$H$37)</f>
        <v>0</v>
      </c>
      <c r="N37" s="32"/>
    </row>
    <row r="38" spans="2:14" ht="15" customHeight="1" x14ac:dyDescent="0.2">
      <c r="B38" s="123" t="s">
        <v>90</v>
      </c>
      <c r="C38" s="124"/>
      <c r="D38" s="134"/>
      <c r="E38" s="378" t="s">
        <v>142</v>
      </c>
      <c r="F38" s="134"/>
      <c r="G38" s="134"/>
      <c r="H38" s="134">
        <f t="shared" ref="H38:M38" si="5">SUM(H36:H37)</f>
        <v>287.61429599999997</v>
      </c>
      <c r="I38" s="134">
        <f t="shared" si="5"/>
        <v>215.71072199999998</v>
      </c>
      <c r="J38" s="134">
        <f t="shared" si="5"/>
        <v>143.80714799999998</v>
      </c>
      <c r="K38" s="134">
        <f t="shared" si="5"/>
        <v>71.903573999999992</v>
      </c>
      <c r="L38" s="134">
        <f t="shared" si="5"/>
        <v>0</v>
      </c>
      <c r="M38" s="134">
        <f t="shared" si="5"/>
        <v>0</v>
      </c>
      <c r="N38" s="32"/>
    </row>
    <row r="39" spans="2:14" ht="15" customHeight="1" x14ac:dyDescent="0.2"/>
    <row r="40" spans="2:14" ht="15" customHeight="1" x14ac:dyDescent="0.2"/>
    <row r="41" spans="2:14" ht="15" customHeight="1" x14ac:dyDescent="0.2"/>
    <row r="42" spans="2:14" ht="15" customHeight="1" x14ac:dyDescent="0.2"/>
    <row r="43" spans="2:14" ht="15" customHeight="1" x14ac:dyDescent="0.2"/>
    <row r="44" spans="2:14" ht="15" customHeight="1" x14ac:dyDescent="0.2"/>
    <row r="45" spans="2:14" ht="15" customHeight="1" x14ac:dyDescent="0.2"/>
    <row r="46" spans="2:14" ht="15" customHeight="1" x14ac:dyDescent="0.2"/>
    <row r="47" spans="2:14" ht="15" customHeight="1" x14ac:dyDescent="0.2"/>
    <row r="48" spans="2:14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3352-E2B5-4D76-8EC6-FF845F2510E8}">
  <dimension ref="B1:Q198"/>
  <sheetViews>
    <sheetView showGridLines="0" zoomScaleNormal="100" workbookViewId="0">
      <pane xSplit="8" ySplit="8" topLeftCell="I9" activePane="bottomRight" state="frozen"/>
      <selection activeCell="D31" sqref="D31"/>
      <selection pane="topRight" activeCell="D31" sqref="D31"/>
      <selection pane="bottomLeft" activeCell="D31" sqref="D31"/>
      <selection pane="bottomRight" activeCell="K28" sqref="K28"/>
    </sheetView>
  </sheetViews>
  <sheetFormatPr defaultColWidth="10.85546875" defaultRowHeight="12.75" outlineLevelCol="1" x14ac:dyDescent="0.2"/>
  <cols>
    <col min="1" max="1" width="1.7109375" style="29" bestFit="1" customWidth="1"/>
    <col min="2" max="2" width="22.5703125" style="29" bestFit="1" customWidth="1"/>
    <col min="3" max="3" width="4.5703125" style="29" customWidth="1"/>
    <col min="4" max="4" width="4.28515625" style="29" customWidth="1"/>
    <col min="5" max="5" width="14.28515625" style="192" customWidth="1"/>
    <col min="6" max="6" width="16.85546875" style="29" customWidth="1"/>
    <col min="7" max="8" width="15.85546875" style="29" customWidth="1"/>
    <col min="9" max="13" width="16" style="29" bestFit="1" customWidth="1"/>
    <col min="14" max="14" width="3.42578125" style="29" customWidth="1"/>
    <col min="15" max="15" width="7.85546875" style="30" customWidth="1" outlineLevel="1"/>
    <col min="16" max="16" width="5" style="31" customWidth="1"/>
    <col min="17" max="17" width="10.85546875" style="29"/>
    <col min="18" max="18" width="12.42578125" style="29" bestFit="1" customWidth="1"/>
    <col min="19" max="19" width="11.42578125" style="29" bestFit="1" customWidth="1"/>
    <col min="20" max="16384" width="10.85546875" style="29"/>
  </cols>
  <sheetData>
    <row r="1" spans="2:17" x14ac:dyDescent="0.2">
      <c r="F1" s="245"/>
      <c r="G1" s="245"/>
      <c r="H1" s="245"/>
      <c r="I1" s="245"/>
      <c r="J1" s="245"/>
      <c r="K1" s="245"/>
      <c r="L1" s="245"/>
      <c r="M1" s="245"/>
      <c r="Q1" s="32"/>
    </row>
    <row r="2" spans="2:17" s="33" customFormat="1" ht="15" customHeight="1" x14ac:dyDescent="0.2">
      <c r="B2" s="164" t="s">
        <v>212</v>
      </c>
      <c r="C2" s="164"/>
      <c r="D2" s="164"/>
      <c r="E2" s="189"/>
      <c r="F2" s="189"/>
      <c r="G2" s="164"/>
      <c r="H2" s="164"/>
      <c r="I2" s="165"/>
      <c r="J2" s="165"/>
      <c r="K2" s="165"/>
      <c r="L2" s="165"/>
      <c r="M2" s="165"/>
      <c r="O2" s="36"/>
      <c r="Q2" s="32"/>
    </row>
    <row r="3" spans="2:17" s="33" customFormat="1" ht="15" customHeight="1" x14ac:dyDescent="0.2">
      <c r="B3" s="164" t="s">
        <v>128</v>
      </c>
      <c r="C3" s="164"/>
      <c r="D3" s="164"/>
      <c r="E3" s="189"/>
      <c r="F3" s="189"/>
      <c r="G3" s="164"/>
      <c r="H3" s="164"/>
      <c r="I3" s="165"/>
      <c r="J3" s="165"/>
      <c r="K3" s="165"/>
      <c r="L3" s="165"/>
      <c r="M3" s="165"/>
      <c r="O3" s="36"/>
      <c r="Q3" s="32"/>
    </row>
    <row r="4" spans="2:17" s="33" customFormat="1" ht="15" customHeight="1" x14ac:dyDescent="0.2">
      <c r="B4" s="34"/>
      <c r="C4" s="35"/>
      <c r="D4" s="35"/>
      <c r="E4" s="379"/>
      <c r="F4" s="35"/>
      <c r="G4" s="35"/>
      <c r="H4" s="35"/>
      <c r="I4" s="35"/>
      <c r="J4" s="35"/>
      <c r="K4" s="35"/>
      <c r="L4" s="35"/>
      <c r="M4" s="35"/>
      <c r="O4" s="36"/>
      <c r="Q4" s="32"/>
    </row>
    <row r="5" spans="2:17" s="2" customFormat="1" ht="15" customHeight="1" x14ac:dyDescent="0.2">
      <c r="C5" s="34"/>
      <c r="D5" s="34"/>
      <c r="E5" s="380"/>
      <c r="F5" s="38" t="s">
        <v>42</v>
      </c>
      <c r="G5" s="38"/>
      <c r="H5" s="39"/>
      <c r="I5" s="38" t="s">
        <v>43</v>
      </c>
      <c r="J5" s="38"/>
      <c r="K5" s="38"/>
      <c r="L5" s="38"/>
      <c r="M5" s="39"/>
      <c r="O5" s="40"/>
      <c r="Q5" s="32"/>
    </row>
    <row r="6" spans="2:17" s="2" customFormat="1" ht="15" customHeight="1" x14ac:dyDescent="0.2">
      <c r="B6" s="41"/>
      <c r="E6" s="192"/>
      <c r="F6" s="403">
        <f>+Assumptions!F8</f>
        <v>44926</v>
      </c>
      <c r="G6" s="403">
        <f>+Assumptions!G8</f>
        <v>45291</v>
      </c>
      <c r="H6" s="403">
        <f>+Assumptions!H8</f>
        <v>45657</v>
      </c>
      <c r="I6" s="403">
        <f>+Assumptions!I8</f>
        <v>46022</v>
      </c>
      <c r="J6" s="403">
        <f>+Assumptions!J8</f>
        <v>46387</v>
      </c>
      <c r="K6" s="403">
        <f>+Assumptions!K8</f>
        <v>46752</v>
      </c>
      <c r="L6" s="403">
        <f>+Assumptions!L8</f>
        <v>47118</v>
      </c>
      <c r="M6" s="403">
        <f>+Assumptions!M8</f>
        <v>47483</v>
      </c>
      <c r="O6" s="40"/>
      <c r="Q6" s="32"/>
    </row>
    <row r="7" spans="2:17" s="2" customFormat="1" ht="15" customHeight="1" x14ac:dyDescent="0.2">
      <c r="B7" s="41"/>
      <c r="E7" s="192"/>
      <c r="F7" s="42" t="str">
        <f>"FY"&amp;YEAR(F6)&amp;"A"</f>
        <v>FY2022A</v>
      </c>
      <c r="G7" s="42" t="str">
        <f>"FY"&amp;YEAR(G6)&amp;"A"</f>
        <v>FY2023A</v>
      </c>
      <c r="H7" s="43" t="str">
        <f>"FY"&amp;YEAR(H6)&amp;"PF"</f>
        <v>FY2024PF</v>
      </c>
      <c r="I7" s="44" t="str">
        <f>"FY"&amp;YEAR(I6)&amp;"F"</f>
        <v>FY2025F</v>
      </c>
      <c r="J7" s="44" t="str">
        <f>"FY"&amp;YEAR(J6)&amp;"F"</f>
        <v>FY2026F</v>
      </c>
      <c r="K7" s="44" t="str">
        <f>"FY"&amp;YEAR(K6)&amp;"F"</f>
        <v>FY2027F</v>
      </c>
      <c r="L7" s="44" t="str">
        <f>"FY"&amp;YEAR(L6)&amp;"F"</f>
        <v>FY2028F</v>
      </c>
      <c r="M7" s="44" t="str">
        <f>"FY"&amp;YEAR(M6)&amp;"F"</f>
        <v>FY2029F</v>
      </c>
      <c r="O7" s="40"/>
      <c r="Q7" s="32"/>
    </row>
    <row r="8" spans="2:17" ht="15" customHeight="1" x14ac:dyDescent="0.2">
      <c r="B8" s="41"/>
      <c r="C8" s="2"/>
      <c r="D8" s="2"/>
      <c r="F8" s="2"/>
      <c r="G8" s="2"/>
      <c r="H8" s="2"/>
      <c r="I8" s="2"/>
      <c r="J8" s="2"/>
      <c r="K8" s="2"/>
      <c r="L8" s="2"/>
      <c r="M8" s="2"/>
      <c r="P8" s="29"/>
      <c r="Q8" s="32"/>
    </row>
    <row r="9" spans="2:17" ht="15" customHeight="1" x14ac:dyDescent="0.2"/>
    <row r="10" spans="2:17" ht="15" customHeight="1" x14ac:dyDescent="0.2">
      <c r="B10" s="68" t="s">
        <v>179</v>
      </c>
      <c r="C10" s="84"/>
      <c r="D10" s="84"/>
      <c r="E10" s="362"/>
      <c r="F10" s="85"/>
      <c r="G10" s="85"/>
      <c r="H10" s="86"/>
      <c r="I10" s="72"/>
      <c r="J10" s="72"/>
      <c r="K10" s="72"/>
      <c r="L10" s="72"/>
      <c r="M10" s="72"/>
    </row>
    <row r="11" spans="2:17" ht="15" customHeight="1" x14ac:dyDescent="0.2">
      <c r="B11" s="32"/>
      <c r="C11" s="32"/>
      <c r="D11" s="32"/>
      <c r="F11" s="32"/>
      <c r="G11" s="32"/>
      <c r="H11" s="32"/>
      <c r="I11" s="32"/>
      <c r="J11" s="32"/>
      <c r="K11" s="32"/>
      <c r="L11" s="32"/>
      <c r="M11" s="32"/>
    </row>
    <row r="12" spans="2:17" ht="15" customHeight="1" x14ac:dyDescent="0.2">
      <c r="B12" s="32" t="s">
        <v>70</v>
      </c>
      <c r="C12" s="32"/>
      <c r="D12" s="96"/>
      <c r="E12" s="382" t="s">
        <v>144</v>
      </c>
      <c r="F12" s="15">
        <v>365</v>
      </c>
      <c r="G12" s="15">
        <v>365</v>
      </c>
      <c r="H12" s="15">
        <v>365</v>
      </c>
      <c r="I12" s="97">
        <v>365</v>
      </c>
      <c r="J12" s="97">
        <v>365</v>
      </c>
      <c r="K12" s="97">
        <v>365</v>
      </c>
      <c r="L12" s="97">
        <v>365</v>
      </c>
      <c r="M12" s="97">
        <v>365</v>
      </c>
    </row>
    <row r="13" spans="2:17" ht="15" customHeight="1" x14ac:dyDescent="0.2">
      <c r="B13" s="32" t="s">
        <v>45</v>
      </c>
      <c r="C13" s="32"/>
      <c r="D13" s="16"/>
      <c r="E13" s="383" t="s">
        <v>142</v>
      </c>
      <c r="F13" s="249">
        <f>+'Financial Statements'!F12</f>
        <v>30571.118161500002</v>
      </c>
      <c r="G13" s="249">
        <f>+'Financial Statements'!G12</f>
        <v>30347.6740035</v>
      </c>
      <c r="H13" s="249">
        <f>+'Financial Statements'!H12</f>
        <v>31378.902996000008</v>
      </c>
      <c r="I13" s="249">
        <f>+'Financial Statements'!I12</f>
        <v>34006.481055920012</v>
      </c>
      <c r="J13" s="249">
        <f>+'Financial Statements'!J12</f>
        <v>35746.610677038407</v>
      </c>
      <c r="K13" s="249">
        <f>+'Financial Statements'!K12</f>
        <v>40779.542890579178</v>
      </c>
      <c r="L13" s="249">
        <f>+'Financial Statements'!L12</f>
        <v>43104.533748390764</v>
      </c>
      <c r="M13" s="249">
        <f>+'Financial Statements'!M12</f>
        <v>45849.79442335858</v>
      </c>
    </row>
    <row r="14" spans="2:17" ht="15" customHeight="1" x14ac:dyDescent="0.2">
      <c r="B14" s="32" t="s">
        <v>71</v>
      </c>
      <c r="C14" s="32"/>
      <c r="D14" s="16"/>
      <c r="E14" s="383" t="s">
        <v>142</v>
      </c>
      <c r="F14" s="249">
        <f>+'Financial Statements'!F18</f>
        <v>17512.269986099996</v>
      </c>
      <c r="G14" s="249">
        <f>+'Financial Statements'!G18</f>
        <v>17843.689954620906</v>
      </c>
      <c r="H14" s="249">
        <f>+'Financial Statements'!H18</f>
        <v>17937.420769775184</v>
      </c>
      <c r="I14" s="249">
        <f>+'Financial Statements'!I18</f>
        <v>19388.15298253089</v>
      </c>
      <c r="J14" s="249">
        <f>+'Financial Statements'!J18</f>
        <v>20312.859515488915</v>
      </c>
      <c r="K14" s="249">
        <f>+'Financial Statements'!K18</f>
        <v>23210.507848572244</v>
      </c>
      <c r="L14" s="249">
        <f>+'Financial Statements'!L18</f>
        <v>24463.505271172718</v>
      </c>
      <c r="M14" s="249">
        <f>+'Financial Statements'!M18</f>
        <v>25953.620025537781</v>
      </c>
    </row>
    <row r="15" spans="2:17" ht="15" customHeight="1" x14ac:dyDescent="0.2">
      <c r="B15" s="32" t="s">
        <v>57</v>
      </c>
      <c r="C15" s="32"/>
      <c r="D15" s="16"/>
      <c r="E15" s="383" t="s">
        <v>142</v>
      </c>
      <c r="F15" s="249">
        <f>+'Financial Statements'!F29</f>
        <v>4973.6759999999995</v>
      </c>
      <c r="G15" s="249">
        <f>+'Financial Statements'!G29</f>
        <v>4905.6000000000004</v>
      </c>
      <c r="H15" s="249">
        <f>+'Financial Statements'!H29</f>
        <v>5123.2280000000001</v>
      </c>
      <c r="I15" s="249">
        <f>+'Financial Statements'!I29</f>
        <v>5711.6903600000005</v>
      </c>
      <c r="J15" s="249">
        <f>+'Financial Statements'!J29</f>
        <v>6130.7218572000002</v>
      </c>
      <c r="K15" s="249">
        <f>+'Financial Statements'!K29</f>
        <v>7428.4738688440011</v>
      </c>
      <c r="L15" s="249">
        <f>+'Financial Statements'!L29</f>
        <v>7802.1977994458803</v>
      </c>
      <c r="M15" s="249">
        <f>+'Financial Statements'!M29</f>
        <v>8198.0399313210492</v>
      </c>
    </row>
    <row r="16" spans="2:17" ht="15" customHeight="1" x14ac:dyDescent="0.2">
      <c r="B16" s="32"/>
      <c r="C16" s="32"/>
      <c r="D16" s="96"/>
      <c r="E16" s="382"/>
      <c r="F16" s="96"/>
      <c r="G16" s="96"/>
      <c r="H16" s="96"/>
      <c r="I16" s="100"/>
      <c r="J16" s="100"/>
      <c r="K16" s="100"/>
      <c r="L16" s="100"/>
      <c r="M16" s="101"/>
    </row>
    <row r="17" spans="2:13" ht="15" customHeight="1" x14ac:dyDescent="0.2">
      <c r="B17" s="48" t="s">
        <v>72</v>
      </c>
      <c r="C17" s="32"/>
      <c r="D17" s="96"/>
      <c r="E17" s="382"/>
      <c r="F17" s="96"/>
      <c r="G17" s="96"/>
      <c r="H17" s="96"/>
      <c r="I17" s="100"/>
      <c r="J17" s="100"/>
      <c r="K17" s="100"/>
      <c r="L17" s="100"/>
      <c r="M17" s="101"/>
    </row>
    <row r="18" spans="2:13" ht="15" customHeight="1" x14ac:dyDescent="0.2">
      <c r="B18" s="32" t="s">
        <v>61</v>
      </c>
      <c r="C18" s="32"/>
      <c r="D18" s="16"/>
      <c r="E18" s="383" t="s">
        <v>142</v>
      </c>
      <c r="F18" s="249">
        <f>'Financial Statements'!F47</f>
        <v>3351.7731939999999</v>
      </c>
      <c r="G18" s="249">
        <f>'Financial Statements'!G47</f>
        <v>3760.1383600000004</v>
      </c>
      <c r="H18" s="249">
        <f>'Financial Statements'!H47</f>
        <v>4001.8284570000014</v>
      </c>
      <c r="I18" s="16">
        <f>I19/I$12*I$13</f>
        <v>4336.9299312139701</v>
      </c>
      <c r="J18" s="16">
        <f>J19/J$12*J$13</f>
        <v>4558.852929527452</v>
      </c>
      <c r="K18" s="16">
        <f>K19/K$12*K$13</f>
        <v>5200.7151181726995</v>
      </c>
      <c r="L18" s="16">
        <f>L19/L$12*L$13</f>
        <v>5497.2269043954775</v>
      </c>
      <c r="M18" s="16">
        <f>M19/M$12*M$13</f>
        <v>5847.3367311274596</v>
      </c>
    </row>
    <row r="19" spans="2:13" ht="15" customHeight="1" x14ac:dyDescent="0.2">
      <c r="B19" s="250" t="s">
        <v>49</v>
      </c>
      <c r="C19" s="32"/>
      <c r="D19" s="16"/>
      <c r="E19" s="383" t="s">
        <v>144</v>
      </c>
      <c r="F19" s="16">
        <f>F18/F13*F12</f>
        <v>40.018072265040523</v>
      </c>
      <c r="G19" s="16">
        <f>G18/G13*G12</f>
        <v>45.224240290762161</v>
      </c>
      <c r="H19" s="16">
        <f>H18/H13*H12</f>
        <v>46.549345175999221</v>
      </c>
      <c r="I19" s="249">
        <f>+Assumptions!I106</f>
        <v>46.549345175999221</v>
      </c>
      <c r="J19" s="249">
        <f>+Assumptions!J106</f>
        <v>46.549345175999221</v>
      </c>
      <c r="K19" s="249">
        <f>+Assumptions!K106</f>
        <v>46.549345175999221</v>
      </c>
      <c r="L19" s="249">
        <f>+Assumptions!L106</f>
        <v>46.549345175999221</v>
      </c>
      <c r="M19" s="249">
        <f>+Assumptions!M106</f>
        <v>46.549345175999221</v>
      </c>
    </row>
    <row r="20" spans="2:13" ht="15" customHeight="1" x14ac:dyDescent="0.2">
      <c r="B20" s="32" t="s">
        <v>73</v>
      </c>
      <c r="C20" s="32"/>
      <c r="D20" s="16"/>
      <c r="E20" s="383" t="s">
        <v>142</v>
      </c>
      <c r="F20" s="249">
        <f>'Financial Statements'!F48</f>
        <v>2449.0399020000004</v>
      </c>
      <c r="G20" s="249">
        <f>'Financial Statements'!G48</f>
        <v>2842.0788510277057</v>
      </c>
      <c r="H20" s="249">
        <f>'Financial Statements'!H48</f>
        <v>2607.3523839470367</v>
      </c>
      <c r="I20" s="16">
        <f>I21/I$12*I$14</f>
        <v>2818.2283031745678</v>
      </c>
      <c r="J20" s="16">
        <f>J21/J$12*J$14</f>
        <v>2952.6420415879597</v>
      </c>
      <c r="K20" s="16">
        <f>K21/K$12*K$14</f>
        <v>3373.8391794638565</v>
      </c>
      <c r="L20" s="16">
        <f>L21/L$12*L$14</f>
        <v>3555.9727124187057</v>
      </c>
      <c r="M20" s="16">
        <f>M21/M$12*M$14</f>
        <v>3772.5732096147744</v>
      </c>
    </row>
    <row r="21" spans="2:13" ht="15" customHeight="1" x14ac:dyDescent="0.2">
      <c r="B21" s="250" t="s">
        <v>50</v>
      </c>
      <c r="C21" s="32"/>
      <c r="D21" s="16"/>
      <c r="E21" s="383" t="s">
        <v>144</v>
      </c>
      <c r="F21" s="16">
        <f>F20/F14*F12</f>
        <v>51.044185873077254</v>
      </c>
      <c r="G21" s="16">
        <f>G20/G14*G12</f>
        <v>58.135889116167483</v>
      </c>
      <c r="H21" s="16">
        <f>H20/H14*H12</f>
        <v>53.055767178315243</v>
      </c>
      <c r="I21" s="249">
        <f>+Assumptions!I107</f>
        <v>53.055767178315243</v>
      </c>
      <c r="J21" s="249">
        <f>+Assumptions!J107</f>
        <v>53.055767178315243</v>
      </c>
      <c r="K21" s="249">
        <f>+Assumptions!K107</f>
        <v>53.055767178315243</v>
      </c>
      <c r="L21" s="249">
        <f>+Assumptions!L107</f>
        <v>53.055767178315243</v>
      </c>
      <c r="M21" s="249">
        <f>+Assumptions!M107</f>
        <v>53.055767178315243</v>
      </c>
    </row>
    <row r="22" spans="2:13" ht="15" customHeight="1" x14ac:dyDescent="0.2">
      <c r="B22" s="32" t="s">
        <v>25</v>
      </c>
      <c r="C22" s="102"/>
      <c r="D22" s="16"/>
      <c r="E22" s="383" t="s">
        <v>142</v>
      </c>
      <c r="F22" s="249">
        <f>'Financial Statements'!F57</f>
        <v>1271.9036999999998</v>
      </c>
      <c r="G22" s="249">
        <f>'Financial Statements'!G57</f>
        <v>1183.5356744000001</v>
      </c>
      <c r="H22" s="249">
        <f>'Financial Statements'!H57</f>
        <v>1800.8972469999999</v>
      </c>
      <c r="I22" s="16">
        <f>+I23/I12*(I14+I15)</f>
        <v>1960.1460144061607</v>
      </c>
      <c r="J22" s="16">
        <f>+J23/J12*(J14+J15)</f>
        <v>2065.0838304823728</v>
      </c>
      <c r="K22" s="16">
        <f>+K23/K12*(K14+K15)</f>
        <v>2392.7192325177662</v>
      </c>
      <c r="L22" s="16">
        <f>+L23/L12*(L14+L15)</f>
        <v>2519.756335240475</v>
      </c>
      <c r="M22" s="16">
        <f>+M23/M12*(M14+M15)</f>
        <v>2667.0381657864691</v>
      </c>
    </row>
    <row r="23" spans="2:13" ht="15" customHeight="1" x14ac:dyDescent="0.2">
      <c r="B23" s="250" t="s">
        <v>51</v>
      </c>
      <c r="C23" s="32"/>
      <c r="D23" s="16"/>
      <c r="E23" s="383" t="s">
        <v>144</v>
      </c>
      <c r="F23" s="16">
        <f>+F22/(F14+F15)*F12</f>
        <v>20.646000430089952</v>
      </c>
      <c r="G23" s="16">
        <f>+G22/(G14+G15)*G12</f>
        <v>18.98918700397736</v>
      </c>
      <c r="H23" s="16">
        <f>+H22/(H14+H15)*H12</f>
        <v>28.504293253732612</v>
      </c>
      <c r="I23" s="249">
        <f>+Assumptions!I108</f>
        <v>28.504293253732612</v>
      </c>
      <c r="J23" s="249">
        <f>+Assumptions!J108</f>
        <v>28.504293253732612</v>
      </c>
      <c r="K23" s="249">
        <f>+Assumptions!K108</f>
        <v>28.504293253732612</v>
      </c>
      <c r="L23" s="249">
        <f>+Assumptions!L108</f>
        <v>28.504293253732612</v>
      </c>
      <c r="M23" s="249">
        <f>+Assumptions!M108</f>
        <v>28.504293253732612</v>
      </c>
    </row>
    <row r="24" spans="2:13" ht="15" customHeight="1" x14ac:dyDescent="0.2">
      <c r="B24" s="103" t="s">
        <v>181</v>
      </c>
      <c r="C24" s="49"/>
      <c r="D24" s="104"/>
      <c r="E24" s="384" t="s">
        <v>142</v>
      </c>
      <c r="F24" s="104">
        <f t="shared" ref="F24:M24" si="0">F18+F20-F22</f>
        <v>4528.909396</v>
      </c>
      <c r="G24" s="104">
        <f t="shared" si="0"/>
        <v>5418.681536627706</v>
      </c>
      <c r="H24" s="104">
        <f t="shared" si="0"/>
        <v>4808.2835939470378</v>
      </c>
      <c r="I24" s="104">
        <f t="shared" si="0"/>
        <v>5195.0122199823782</v>
      </c>
      <c r="J24" s="104">
        <f t="shared" si="0"/>
        <v>5446.4111406330385</v>
      </c>
      <c r="K24" s="104">
        <f t="shared" si="0"/>
        <v>6181.8350651187902</v>
      </c>
      <c r="L24" s="104">
        <f t="shared" si="0"/>
        <v>6533.4432815737082</v>
      </c>
      <c r="M24" s="104">
        <f t="shared" si="0"/>
        <v>6952.8717749557654</v>
      </c>
    </row>
    <row r="25" spans="2:13" ht="15" customHeight="1" x14ac:dyDescent="0.2">
      <c r="B25" s="105" t="s">
        <v>74</v>
      </c>
      <c r="C25" s="55"/>
      <c r="D25" s="106"/>
      <c r="E25" s="385" t="s">
        <v>143</v>
      </c>
      <c r="F25" s="106">
        <f t="shared" ref="F25:M25" si="1">F24/F13</f>
        <v>0.14814340031904755</v>
      </c>
      <c r="G25" s="106">
        <f t="shared" si="1"/>
        <v>0.17855343826359704</v>
      </c>
      <c r="H25" s="106">
        <f t="shared" si="1"/>
        <v>0.15323300481728022</v>
      </c>
      <c r="I25" s="106">
        <f t="shared" si="1"/>
        <v>0.15276535703414115</v>
      </c>
      <c r="J25" s="106">
        <f t="shared" si="1"/>
        <v>0.15236160960377437</v>
      </c>
      <c r="K25" s="106">
        <f t="shared" si="1"/>
        <v>0.15159157329708342</v>
      </c>
      <c r="L25" s="106">
        <f t="shared" si="1"/>
        <v>0.15157206709880311</v>
      </c>
      <c r="M25" s="106">
        <f t="shared" si="1"/>
        <v>0.15164455724175643</v>
      </c>
    </row>
    <row r="26" spans="2:13" ht="15" customHeight="1" x14ac:dyDescent="0.2">
      <c r="B26" s="107" t="s">
        <v>75</v>
      </c>
      <c r="C26" s="66"/>
      <c r="D26" s="108"/>
      <c r="E26" s="386" t="s">
        <v>143</v>
      </c>
      <c r="F26" s="109"/>
      <c r="G26" s="109">
        <f t="shared" ref="G26:M26" si="2">F24-G24</f>
        <v>-889.77214062770599</v>
      </c>
      <c r="H26" s="109">
        <f t="shared" si="2"/>
        <v>610.39794268066817</v>
      </c>
      <c r="I26" s="109">
        <f t="shared" si="2"/>
        <v>-386.72862603534031</v>
      </c>
      <c r="J26" s="109">
        <f t="shared" si="2"/>
        <v>-251.39892065066033</v>
      </c>
      <c r="K26" s="109">
        <f t="shared" si="2"/>
        <v>-735.42392448575174</v>
      </c>
      <c r="L26" s="109">
        <f t="shared" si="2"/>
        <v>-351.60821645491797</v>
      </c>
      <c r="M26" s="109">
        <f t="shared" si="2"/>
        <v>-419.42849338205724</v>
      </c>
    </row>
    <row r="27" spans="2:13" ht="15" customHeight="1" x14ac:dyDescent="0.2"/>
    <row r="28" spans="2:13" ht="15" customHeight="1" x14ac:dyDescent="0.2"/>
    <row r="29" spans="2:13" ht="15" customHeight="1" x14ac:dyDescent="0.2"/>
    <row r="30" spans="2:13" ht="15" customHeight="1" x14ac:dyDescent="0.2"/>
    <row r="31" spans="2:13" ht="15" customHeight="1" x14ac:dyDescent="0.2"/>
    <row r="32" spans="2:13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8507-9B67-46E8-A562-71DDF57C8321}">
  <dimension ref="A2:M200"/>
  <sheetViews>
    <sheetView showGridLines="0" topLeftCell="A10" zoomScaleNormal="100" workbookViewId="0">
      <selection activeCell="M29" sqref="M29"/>
    </sheetView>
  </sheetViews>
  <sheetFormatPr defaultColWidth="10.85546875" defaultRowHeight="15" x14ac:dyDescent="0.25"/>
  <cols>
    <col min="1" max="1" width="2.140625" style="1" bestFit="1" customWidth="1"/>
    <col min="2" max="2" width="33.42578125" style="1" customWidth="1"/>
    <col min="3" max="4" width="1.7109375" style="1" customWidth="1"/>
    <col min="5" max="5" width="10.85546875" style="388"/>
    <col min="6" max="6" width="15.42578125" style="158" customWidth="1"/>
    <col min="7" max="8" width="15.42578125" style="1" customWidth="1"/>
    <col min="9" max="9" width="3" style="1" customWidth="1"/>
    <col min="10" max="16384" width="10.85546875" style="1"/>
  </cols>
  <sheetData>
    <row r="2" spans="1:13" ht="15" customHeight="1" x14ac:dyDescent="0.25">
      <c r="B2" s="164" t="s">
        <v>213</v>
      </c>
      <c r="C2" s="164"/>
      <c r="D2" s="164"/>
      <c r="E2" s="189"/>
      <c r="F2" s="164"/>
      <c r="G2" s="164"/>
      <c r="H2" s="164"/>
      <c r="I2" s="139"/>
      <c r="J2" s="139"/>
      <c r="K2" s="139"/>
      <c r="L2" s="139"/>
      <c r="M2" s="139"/>
    </row>
    <row r="3" spans="1:13" ht="15" customHeight="1" x14ac:dyDescent="0.25">
      <c r="B3" s="164" t="s">
        <v>128</v>
      </c>
      <c r="C3" s="164"/>
      <c r="D3" s="164"/>
      <c r="E3" s="189"/>
      <c r="F3" s="164"/>
      <c r="G3" s="164"/>
      <c r="H3" s="164"/>
      <c r="I3" s="139"/>
      <c r="J3" s="139"/>
      <c r="K3" s="139"/>
      <c r="L3" s="139"/>
      <c r="M3" s="139"/>
    </row>
    <row r="4" spans="1:13" ht="15" customHeight="1" x14ac:dyDescent="0.25">
      <c r="B4" s="32"/>
      <c r="C4" s="32"/>
      <c r="D4" s="32"/>
      <c r="E4" s="192"/>
      <c r="F4" s="32"/>
      <c r="G4" s="32"/>
      <c r="H4" s="32"/>
      <c r="I4" s="32"/>
      <c r="J4" s="32"/>
      <c r="K4" s="32"/>
      <c r="L4" s="32"/>
      <c r="M4" s="32"/>
    </row>
    <row r="5" spans="1:13" s="139" customFormat="1" ht="15" customHeight="1" x14ac:dyDescent="0.25">
      <c r="B5" s="146"/>
      <c r="C5" s="146"/>
      <c r="D5" s="146"/>
      <c r="E5" s="352"/>
      <c r="F5" s="38" t="s">
        <v>42</v>
      </c>
      <c r="G5" s="38"/>
      <c r="H5" s="39"/>
    </row>
    <row r="6" spans="1:13" s="32" customFormat="1" ht="15" customHeight="1" x14ac:dyDescent="0.25">
      <c r="E6" s="192"/>
      <c r="F6" s="404">
        <v>44926</v>
      </c>
      <c r="G6" s="404">
        <v>45291</v>
      </c>
      <c r="H6" s="404">
        <v>45657</v>
      </c>
    </row>
    <row r="7" spans="1:13" s="32" customFormat="1" ht="15" customHeight="1" x14ac:dyDescent="0.25">
      <c r="A7" s="32" t="s">
        <v>44</v>
      </c>
      <c r="B7" s="18" t="s">
        <v>112</v>
      </c>
      <c r="C7" s="18"/>
      <c r="D7" s="18"/>
      <c r="E7" s="354"/>
      <c r="F7" s="159" t="str">
        <f>"FY"&amp;YEAR(F6)&amp;"A"</f>
        <v>FY2022A</v>
      </c>
      <c r="G7" s="159" t="str">
        <f>"FY"&amp;YEAR(G6)&amp;"A"</f>
        <v>FY2023A</v>
      </c>
      <c r="H7" s="160" t="str">
        <f>"FY"&amp;YEAR(H6)&amp;"A"</f>
        <v>FY2024A</v>
      </c>
    </row>
    <row r="8" spans="1:13" s="32" customFormat="1" ht="15" customHeight="1" x14ac:dyDescent="0.25">
      <c r="B8" s="48" t="s">
        <v>53</v>
      </c>
      <c r="C8" s="48"/>
      <c r="D8" s="48"/>
      <c r="E8" s="310" t="s">
        <v>142</v>
      </c>
      <c r="F8" s="183">
        <v>30571.118161500002</v>
      </c>
      <c r="G8" s="183">
        <v>30347.6740035</v>
      </c>
      <c r="H8" s="183">
        <v>31378.902996000008</v>
      </c>
    </row>
    <row r="9" spans="1:13" s="32" customFormat="1" ht="15" customHeight="1" x14ac:dyDescent="0.25">
      <c r="B9" s="66" t="s">
        <v>106</v>
      </c>
      <c r="C9" s="66"/>
      <c r="D9" s="66"/>
      <c r="E9" s="353" t="s">
        <v>142</v>
      </c>
      <c r="F9" s="184">
        <v>17512.269986099996</v>
      </c>
      <c r="G9" s="184">
        <v>17843.689954620906</v>
      </c>
      <c r="H9" s="184">
        <v>17937.420769775184</v>
      </c>
    </row>
    <row r="10" spans="1:13" s="32" customFormat="1" ht="15" customHeight="1" x14ac:dyDescent="0.25">
      <c r="B10" s="48" t="s">
        <v>55</v>
      </c>
      <c r="C10" s="48"/>
      <c r="D10" s="48"/>
      <c r="E10" s="310" t="s">
        <v>142</v>
      </c>
      <c r="F10" s="185">
        <f>+F8-F9</f>
        <v>13058.848175400006</v>
      </c>
      <c r="G10" s="185">
        <f>+G8-G9</f>
        <v>12503.984048879094</v>
      </c>
      <c r="H10" s="185">
        <f>+H8-H9</f>
        <v>13441.482226224824</v>
      </c>
    </row>
    <row r="11" spans="1:13" s="32" customFormat="1" ht="15" customHeight="1" x14ac:dyDescent="0.25">
      <c r="B11" s="147" t="s">
        <v>47</v>
      </c>
      <c r="C11" s="147"/>
      <c r="D11" s="147"/>
      <c r="E11" s="310" t="s">
        <v>142</v>
      </c>
      <c r="F11" s="179">
        <v>3391.79</v>
      </c>
      <c r="G11" s="179">
        <v>3308.76</v>
      </c>
      <c r="H11" s="179">
        <v>3401.06</v>
      </c>
    </row>
    <row r="12" spans="1:13" s="32" customFormat="1" ht="15" customHeight="1" x14ac:dyDescent="0.25">
      <c r="B12" s="147" t="s">
        <v>107</v>
      </c>
      <c r="C12" s="147"/>
      <c r="D12" s="147"/>
      <c r="E12" s="387" t="s">
        <v>142</v>
      </c>
      <c r="F12" s="179">
        <v>528.73599999999999</v>
      </c>
      <c r="G12" s="179">
        <v>575.82000000000005</v>
      </c>
      <c r="H12" s="179">
        <v>589.96799999999996</v>
      </c>
    </row>
    <row r="13" spans="1:13" s="32" customFormat="1" ht="15" customHeight="1" x14ac:dyDescent="0.25">
      <c r="B13" s="147" t="s">
        <v>129</v>
      </c>
      <c r="C13" s="147"/>
      <c r="D13" s="147"/>
      <c r="E13" s="387" t="s">
        <v>142</v>
      </c>
      <c r="F13" s="179">
        <v>1053.1500000000001</v>
      </c>
      <c r="G13" s="179">
        <v>1021.02</v>
      </c>
      <c r="H13" s="179">
        <v>1132.2</v>
      </c>
    </row>
    <row r="14" spans="1:13" s="32" customFormat="1" ht="15" customHeight="1" x14ac:dyDescent="0.25">
      <c r="B14" s="149" t="s">
        <v>105</v>
      </c>
      <c r="C14" s="149"/>
      <c r="D14" s="149"/>
      <c r="E14" s="342" t="s">
        <v>142</v>
      </c>
      <c r="F14" s="186">
        <f>+F10-F11-F12-F13</f>
        <v>8085.1721754000046</v>
      </c>
      <c r="G14" s="186">
        <f>+G10-G11-G12-G13</f>
        <v>7598.3840488790938</v>
      </c>
      <c r="H14" s="186">
        <f>+H10-H11-H12-H13</f>
        <v>8318.2542262248226</v>
      </c>
    </row>
    <row r="15" spans="1:13" s="32" customFormat="1" ht="15" customHeight="1" x14ac:dyDescent="0.25">
      <c r="B15" s="150" t="s">
        <v>130</v>
      </c>
      <c r="C15" s="150"/>
      <c r="D15" s="150"/>
      <c r="E15" s="310" t="s">
        <v>142</v>
      </c>
      <c r="F15" s="148">
        <v>-295.68750999999997</v>
      </c>
      <c r="G15" s="148">
        <v>-355.51898</v>
      </c>
      <c r="H15" s="148">
        <v>-392.79817000000008</v>
      </c>
    </row>
    <row r="16" spans="1:13" s="32" customFormat="1" ht="15" customHeight="1" x14ac:dyDescent="0.25">
      <c r="B16" s="151" t="s">
        <v>131</v>
      </c>
      <c r="C16" s="151"/>
      <c r="D16" s="151"/>
      <c r="E16" s="310" t="s">
        <v>142</v>
      </c>
      <c r="F16" s="148">
        <v>-103.37571</v>
      </c>
      <c r="G16" s="148">
        <v>-82.412329999999997</v>
      </c>
      <c r="H16" s="148">
        <v>-82.412329999999997</v>
      </c>
      <c r="J16" s="92"/>
    </row>
    <row r="17" spans="1:12" s="32" customFormat="1" ht="15" customHeight="1" x14ac:dyDescent="0.25">
      <c r="B17" s="151" t="s">
        <v>132</v>
      </c>
      <c r="C17" s="151"/>
      <c r="D17" s="151"/>
      <c r="E17" s="310" t="s">
        <v>142</v>
      </c>
      <c r="F17" s="148">
        <v>-1224.3490199999999</v>
      </c>
      <c r="G17" s="148">
        <v>-1076.0666500000002</v>
      </c>
      <c r="H17" s="148">
        <v>-1076.0666500000002</v>
      </c>
    </row>
    <row r="18" spans="1:12" s="32" customFormat="1" ht="15" customHeight="1" x14ac:dyDescent="0.25">
      <c r="B18" s="156" t="s">
        <v>108</v>
      </c>
      <c r="C18" s="156"/>
      <c r="D18" s="156"/>
      <c r="E18" s="343" t="s">
        <v>142</v>
      </c>
      <c r="F18" s="181">
        <f>+SUM(F14:F17)</f>
        <v>6461.7599354000049</v>
      </c>
      <c r="G18" s="181">
        <f>+SUM(G14:G17)</f>
        <v>6084.3860888790932</v>
      </c>
      <c r="H18" s="181">
        <f>+SUM(H14:H17)</f>
        <v>6766.9770762248227</v>
      </c>
    </row>
    <row r="19" spans="1:12" s="32" customFormat="1" ht="15" customHeight="1" x14ac:dyDescent="0.25">
      <c r="B19" s="48"/>
      <c r="C19" s="48"/>
      <c r="D19" s="48"/>
      <c r="E19" s="192"/>
      <c r="F19" s="153"/>
      <c r="G19" s="154"/>
      <c r="H19" s="154"/>
    </row>
    <row r="20" spans="1:12" s="32" customFormat="1" ht="15" customHeight="1" x14ac:dyDescent="0.25">
      <c r="A20" s="32" t="s">
        <v>44</v>
      </c>
      <c r="B20" s="18" t="s">
        <v>113</v>
      </c>
      <c r="C20" s="18"/>
      <c r="D20" s="18"/>
      <c r="E20" s="354"/>
      <c r="F20" s="159" t="str">
        <f>+F7</f>
        <v>FY2022A</v>
      </c>
      <c r="G20" s="159" t="str">
        <f>+G7</f>
        <v>FY2023A</v>
      </c>
      <c r="H20" s="159" t="str">
        <f>+H7</f>
        <v>FY2024A</v>
      </c>
    </row>
    <row r="21" spans="1:12" s="32" customFormat="1" ht="15" customHeight="1" x14ac:dyDescent="0.25">
      <c r="B21" s="152" t="s">
        <v>18</v>
      </c>
      <c r="C21" s="152"/>
      <c r="D21" s="152"/>
      <c r="E21" s="310"/>
      <c r="F21" s="155"/>
      <c r="G21" s="155"/>
      <c r="H21" s="155"/>
    </row>
    <row r="22" spans="1:12" s="32" customFormat="1" ht="15" customHeight="1" x14ac:dyDescent="0.25">
      <c r="B22" s="46" t="s">
        <v>114</v>
      </c>
      <c r="C22" s="46"/>
      <c r="D22" s="46"/>
      <c r="E22" s="192" t="s">
        <v>142</v>
      </c>
      <c r="F22" s="179">
        <v>10047.110724</v>
      </c>
      <c r="G22" s="179">
        <v>9285.4999260000041</v>
      </c>
      <c r="H22" s="179">
        <v>5469.1911539999983</v>
      </c>
    </row>
    <row r="23" spans="1:12" s="32" customFormat="1" ht="15" customHeight="1" x14ac:dyDescent="0.25">
      <c r="B23" s="46" t="s">
        <v>61</v>
      </c>
      <c r="C23" s="46"/>
      <c r="D23" s="46"/>
      <c r="E23" s="192" t="s">
        <v>142</v>
      </c>
      <c r="F23" s="179">
        <v>3351.7731939999999</v>
      </c>
      <c r="G23" s="179">
        <v>3760.1383600000004</v>
      </c>
      <c r="H23" s="179">
        <v>4001.8284570000014</v>
      </c>
    </row>
    <row r="24" spans="1:12" s="32" customFormat="1" ht="15" customHeight="1" x14ac:dyDescent="0.25">
      <c r="B24" s="46" t="s">
        <v>109</v>
      </c>
      <c r="C24" s="46"/>
      <c r="D24" s="46"/>
      <c r="E24" s="192" t="s">
        <v>142</v>
      </c>
      <c r="F24" s="179">
        <v>2449.0399020000004</v>
      </c>
      <c r="G24" s="179">
        <v>2842.0788510277057</v>
      </c>
      <c r="H24" s="179">
        <v>2607.3523839470367</v>
      </c>
    </row>
    <row r="25" spans="1:12" s="32" customFormat="1" ht="15" customHeight="1" x14ac:dyDescent="0.25">
      <c r="B25" s="57" t="s">
        <v>21</v>
      </c>
      <c r="C25" s="57"/>
      <c r="D25" s="57"/>
      <c r="E25" s="342" t="s">
        <v>142</v>
      </c>
      <c r="F25" s="180">
        <f>SUM(F22:F24)</f>
        <v>15847.92382</v>
      </c>
      <c r="G25" s="180">
        <f>SUM(G22:G24)</f>
        <v>15887.71713702771</v>
      </c>
      <c r="H25" s="180">
        <f>SUM(H22:H24)</f>
        <v>12078.371994947036</v>
      </c>
    </row>
    <row r="26" spans="1:12" s="32" customFormat="1" ht="15" customHeight="1" x14ac:dyDescent="0.25">
      <c r="B26" s="46" t="s">
        <v>63</v>
      </c>
      <c r="C26" s="46"/>
      <c r="D26" s="46"/>
      <c r="E26" s="192" t="s">
        <v>142</v>
      </c>
      <c r="F26" s="179">
        <v>439.31254999999993</v>
      </c>
      <c r="G26" s="179">
        <v>359.20612999999992</v>
      </c>
      <c r="H26" s="179">
        <v>359.20612999999986</v>
      </c>
    </row>
    <row r="27" spans="1:12" s="32" customFormat="1" ht="15" customHeight="1" x14ac:dyDescent="0.25">
      <c r="B27" s="156" t="s">
        <v>23</v>
      </c>
      <c r="C27" s="156"/>
      <c r="D27" s="156"/>
      <c r="E27" s="343" t="s">
        <v>142</v>
      </c>
      <c r="F27" s="181">
        <f>+F26+F25</f>
        <v>16287.236370000001</v>
      </c>
      <c r="G27" s="181">
        <f t="shared" ref="G27:H27" si="0">+G26+G25</f>
        <v>16246.923267027711</v>
      </c>
      <c r="H27" s="181">
        <f t="shared" si="0"/>
        <v>12437.578124947036</v>
      </c>
    </row>
    <row r="28" spans="1:12" s="32" customFormat="1" ht="15" customHeight="1" x14ac:dyDescent="0.25">
      <c r="B28" s="152"/>
      <c r="C28" s="152"/>
      <c r="D28" s="152"/>
      <c r="E28" s="310"/>
      <c r="F28" s="389"/>
      <c r="G28" s="389"/>
      <c r="H28" s="389"/>
    </row>
    <row r="29" spans="1:12" s="32" customFormat="1" ht="15" customHeight="1" x14ac:dyDescent="0.25">
      <c r="B29" s="152" t="s">
        <v>24</v>
      </c>
      <c r="C29" s="152"/>
      <c r="D29" s="152"/>
      <c r="E29" s="310"/>
      <c r="F29" s="182"/>
      <c r="G29" s="182"/>
      <c r="H29" s="182"/>
    </row>
    <row r="30" spans="1:12" s="32" customFormat="1" ht="15" customHeight="1" x14ac:dyDescent="0.25">
      <c r="B30" s="46" t="s">
        <v>25</v>
      </c>
      <c r="C30" s="46"/>
      <c r="D30" s="46"/>
      <c r="E30" s="310" t="s">
        <v>142</v>
      </c>
      <c r="F30" s="179">
        <v>1271.9036999999998</v>
      </c>
      <c r="G30" s="179">
        <v>1183.5356744000001</v>
      </c>
      <c r="H30" s="179">
        <v>1800.8972469999999</v>
      </c>
    </row>
    <row r="31" spans="1:12" s="32" customFormat="1" ht="15" customHeight="1" x14ac:dyDescent="0.25">
      <c r="B31" s="46" t="s">
        <v>26</v>
      </c>
      <c r="C31" s="46"/>
      <c r="D31" s="46"/>
      <c r="E31" s="310" t="s">
        <v>142</v>
      </c>
      <c r="F31" s="179">
        <v>3631.2250700000004</v>
      </c>
      <c r="G31" s="179">
        <v>3911.0254156000001</v>
      </c>
      <c r="H31" s="179">
        <v>1700.4079929999998</v>
      </c>
      <c r="J31" s="210"/>
      <c r="K31" s="210"/>
      <c r="L31" s="210"/>
    </row>
    <row r="32" spans="1:12" s="32" customFormat="1" ht="15" customHeight="1" x14ac:dyDescent="0.25">
      <c r="B32" s="57" t="s">
        <v>27</v>
      </c>
      <c r="C32" s="57"/>
      <c r="D32" s="57"/>
      <c r="E32" s="342" t="s">
        <v>142</v>
      </c>
      <c r="F32" s="180">
        <f>SUM(F30:F31)</f>
        <v>4903.1287700000003</v>
      </c>
      <c r="G32" s="180">
        <f t="shared" ref="G32:H32" si="1">SUM(G30:G31)</f>
        <v>5094.5610900000001</v>
      </c>
      <c r="H32" s="180">
        <f t="shared" si="1"/>
        <v>3501.3052399999997</v>
      </c>
    </row>
    <row r="33" spans="2:12" s="32" customFormat="1" ht="15" customHeight="1" x14ac:dyDescent="0.25">
      <c r="B33" s="46" t="s">
        <v>160</v>
      </c>
      <c r="C33" s="46"/>
      <c r="D33" s="46"/>
      <c r="E33" s="310" t="s">
        <v>142</v>
      </c>
      <c r="F33" s="179">
        <v>0</v>
      </c>
      <c r="G33" s="179">
        <v>0</v>
      </c>
      <c r="H33" s="179">
        <v>0</v>
      </c>
    </row>
    <row r="34" spans="2:12" s="32" customFormat="1" ht="15" customHeight="1" x14ac:dyDescent="0.25">
      <c r="B34" s="156" t="s">
        <v>28</v>
      </c>
      <c r="C34" s="156"/>
      <c r="D34" s="156"/>
      <c r="E34" s="343" t="s">
        <v>142</v>
      </c>
      <c r="F34" s="181">
        <f>+F33+F32</f>
        <v>4903.1287700000003</v>
      </c>
      <c r="G34" s="181">
        <f t="shared" ref="G34:H34" si="2">+G33+G32</f>
        <v>5094.5610900000001</v>
      </c>
      <c r="H34" s="181">
        <f t="shared" si="2"/>
        <v>3501.3052399999997</v>
      </c>
    </row>
    <row r="35" spans="2:12" s="32" customFormat="1" ht="15" customHeight="1" x14ac:dyDescent="0.25">
      <c r="B35" s="46" t="s">
        <v>110</v>
      </c>
      <c r="C35" s="46"/>
      <c r="D35" s="46"/>
      <c r="E35" s="192" t="s">
        <v>142</v>
      </c>
      <c r="F35" s="179">
        <v>1769.1349399999999</v>
      </c>
      <c r="G35" s="179">
        <v>1769.1349500000001</v>
      </c>
      <c r="H35" s="179">
        <v>1769.1349500000001</v>
      </c>
      <c r="J35" s="210"/>
      <c r="K35" s="210"/>
      <c r="L35" s="210"/>
    </row>
    <row r="36" spans="2:12" s="32" customFormat="1" ht="15" customHeight="1" x14ac:dyDescent="0.25">
      <c r="B36" s="46" t="s">
        <v>29</v>
      </c>
      <c r="C36" s="46"/>
      <c r="D36" s="46"/>
      <c r="E36" s="192" t="s">
        <v>142</v>
      </c>
      <c r="F36" s="179">
        <v>9614.9726599999995</v>
      </c>
      <c r="G36" s="179">
        <v>9383.2272270277081</v>
      </c>
      <c r="H36" s="179">
        <v>7167.1379349470371</v>
      </c>
      <c r="J36" s="210"/>
      <c r="K36" s="210"/>
      <c r="L36" s="210"/>
    </row>
    <row r="37" spans="2:12" s="32" customFormat="1" ht="15" customHeight="1" x14ac:dyDescent="0.25">
      <c r="B37" s="156" t="s">
        <v>15</v>
      </c>
      <c r="C37" s="156"/>
      <c r="D37" s="156"/>
      <c r="E37" s="343" t="s">
        <v>142</v>
      </c>
      <c r="F37" s="181">
        <f>SUM(F35:F36)</f>
        <v>11384.107599999999</v>
      </c>
      <c r="G37" s="181">
        <f t="shared" ref="G37:H37" si="3">SUM(G35:G36)</f>
        <v>11152.362177027708</v>
      </c>
      <c r="H37" s="181">
        <f t="shared" si="3"/>
        <v>8936.2728849470368</v>
      </c>
    </row>
    <row r="38" spans="2:12" s="32" customFormat="1" ht="15" customHeight="1" x14ac:dyDescent="0.25">
      <c r="B38" s="156" t="s">
        <v>111</v>
      </c>
      <c r="C38" s="156"/>
      <c r="D38" s="156"/>
      <c r="E38" s="343" t="s">
        <v>142</v>
      </c>
      <c r="F38" s="181">
        <f>F34+F37</f>
        <v>16287.236369999999</v>
      </c>
      <c r="G38" s="181">
        <f>G34+G37</f>
        <v>16246.923267027709</v>
      </c>
      <c r="H38" s="181">
        <f>H34+H37</f>
        <v>12437.578124947036</v>
      </c>
    </row>
    <row r="39" spans="2:12" s="32" customFormat="1" ht="15" customHeight="1" x14ac:dyDescent="0.25">
      <c r="B39" s="14" t="s">
        <v>16</v>
      </c>
      <c r="C39" s="14"/>
      <c r="D39" s="14"/>
      <c r="E39" s="192"/>
      <c r="F39" s="178">
        <f>F27-F38</f>
        <v>0</v>
      </c>
      <c r="G39" s="178">
        <f>G27-G38</f>
        <v>0</v>
      </c>
      <c r="H39" s="178">
        <f>H27-H38</f>
        <v>0</v>
      </c>
    </row>
    <row r="40" spans="2:12" s="32" customFormat="1" ht="15" customHeight="1" x14ac:dyDescent="0.25">
      <c r="B40" s="14"/>
      <c r="C40" s="14"/>
      <c r="D40" s="14"/>
      <c r="E40" s="192"/>
      <c r="F40" s="157"/>
      <c r="G40" s="157"/>
      <c r="H40" s="157"/>
    </row>
    <row r="41" spans="2:12" ht="15" customHeight="1" x14ac:dyDescent="0.25"/>
    <row r="42" spans="2:12" ht="15" customHeight="1" x14ac:dyDescent="0.25"/>
    <row r="43" spans="2:12" ht="15" customHeight="1" x14ac:dyDescent="0.25"/>
    <row r="44" spans="2:12" ht="15" customHeight="1" x14ac:dyDescent="0.25"/>
    <row r="45" spans="2:12" ht="15" customHeight="1" x14ac:dyDescent="0.25"/>
    <row r="46" spans="2:12" ht="15" customHeight="1" x14ac:dyDescent="0.25"/>
    <row r="47" spans="2:12" ht="15" customHeight="1" x14ac:dyDescent="0.25"/>
    <row r="48" spans="2:12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 Structure</vt:lpstr>
      <vt:lpstr>Assumptions</vt:lpstr>
      <vt:lpstr>Financial Statements</vt:lpstr>
      <vt:lpstr>Debt</vt:lpstr>
      <vt:lpstr>PP&amp;E</vt:lpstr>
      <vt:lpstr>NWC</vt:lpstr>
      <vt:lpstr>Historicals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Augusto Barriga Amin</dc:creator>
  <cp:lastModifiedBy>Jaime Augusto Barriga Amin</cp:lastModifiedBy>
  <dcterms:created xsi:type="dcterms:W3CDTF">2015-06-05T18:17:20Z</dcterms:created>
  <dcterms:modified xsi:type="dcterms:W3CDTF">2025-09-28T12:16:21Z</dcterms:modified>
</cp:coreProperties>
</file>